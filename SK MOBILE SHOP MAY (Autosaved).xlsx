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24519"/>
</workbook>
</file>

<file path=xl/calcChain.xml><?xml version="1.0" encoding="utf-8"?>
<calcChain xmlns="http://schemas.openxmlformats.org/spreadsheetml/2006/main">
  <c r="J37" i="2"/>
  <c r="N37"/>
  <c r="M37"/>
  <c r="K37"/>
  <c r="L37"/>
  <c r="I37"/>
  <c r="G37"/>
  <c r="H37"/>
  <c r="F37"/>
  <c r="E37"/>
  <c r="D37"/>
  <c r="B37"/>
  <c r="C37"/>
  <c r="L34" i="4"/>
  <c r="D12" i="1" s="1"/>
  <c r="C34" i="5"/>
  <c r="E34"/>
  <c r="H34" s="1"/>
  <c r="C4" i="1" s="1"/>
  <c r="O24" i="2"/>
  <c r="O25"/>
  <c r="O26"/>
  <c r="O27"/>
  <c r="O28"/>
  <c r="O29"/>
  <c r="O30"/>
  <c r="O31"/>
  <c r="O32"/>
  <c r="O33"/>
  <c r="O34"/>
  <c r="O35"/>
  <c r="O36"/>
  <c r="T7" i="3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6"/>
  <c r="B37"/>
  <c r="C37"/>
  <c r="D37"/>
  <c r="E37"/>
  <c r="F37"/>
  <c r="G37"/>
  <c r="H37"/>
  <c r="I37"/>
  <c r="J37"/>
  <c r="K37"/>
  <c r="L37"/>
  <c r="M37"/>
  <c r="N37"/>
  <c r="O37"/>
  <c r="P37"/>
  <c r="Q37"/>
  <c r="R37"/>
  <c r="S37"/>
  <c r="O22" i="2"/>
  <c r="O23"/>
  <c r="O21"/>
  <c r="E19" i="4"/>
  <c r="H34" i="6"/>
  <c r="C34"/>
  <c r="D34"/>
  <c r="E17"/>
  <c r="E18"/>
  <c r="E19"/>
  <c r="E20"/>
  <c r="E21"/>
  <c r="E22"/>
  <c r="E23"/>
  <c r="E24"/>
  <c r="E25"/>
  <c r="E26"/>
  <c r="E27"/>
  <c r="E28"/>
  <c r="E29"/>
  <c r="E30"/>
  <c r="E31"/>
  <c r="E32"/>
  <c r="E33"/>
  <c r="E16"/>
  <c r="B34" i="4"/>
  <c r="C34"/>
  <c r="B15" i="1" s="1"/>
  <c r="D34" i="4"/>
  <c r="H34"/>
  <c r="G34" i="6"/>
  <c r="I21"/>
  <c r="I22"/>
  <c r="I23"/>
  <c r="I24"/>
  <c r="I25"/>
  <c r="I26"/>
  <c r="I27"/>
  <c r="I28"/>
  <c r="I29"/>
  <c r="I30"/>
  <c r="I31"/>
  <c r="I32"/>
  <c r="I33"/>
  <c r="I20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"/>
  <c r="K34"/>
  <c r="L34"/>
  <c r="M34"/>
  <c r="Q34"/>
  <c r="R34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"/>
  <c r="E4" i="1"/>
  <c r="N3" i="5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"/>
  <c r="E12" i="4"/>
  <c r="E13"/>
  <c r="E14"/>
  <c r="E15"/>
  <c r="E16"/>
  <c r="E17"/>
  <c r="E18"/>
  <c r="E20"/>
  <c r="E21"/>
  <c r="E22"/>
  <c r="E23"/>
  <c r="E24"/>
  <c r="E25"/>
  <c r="E26"/>
  <c r="E27"/>
  <c r="E28"/>
  <c r="E29"/>
  <c r="E30"/>
  <c r="E31"/>
  <c r="E32"/>
  <c r="E33"/>
  <c r="E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11"/>
  <c r="G34"/>
  <c r="C15" i="1" s="1"/>
  <c r="T37" i="3" l="1"/>
  <c r="O37" i="2"/>
  <c r="I34" i="4"/>
  <c r="C12" i="1" s="1"/>
  <c r="E34" i="6"/>
  <c r="F13" i="1" s="1"/>
  <c r="E34" i="4"/>
  <c r="B12" i="1" s="1"/>
  <c r="S34" i="6"/>
  <c r="D4" i="1" s="1"/>
  <c r="O34" i="6"/>
  <c r="F9" i="1" s="1"/>
  <c r="I34" i="6"/>
  <c r="F11" i="1" s="1"/>
  <c r="A12" l="1"/>
  <c r="F7" s="1"/>
  <c r="F14" s="1"/>
  <c r="B4" l="1"/>
  <c r="F4" s="1"/>
</calcChain>
</file>

<file path=xl/sharedStrings.xml><?xml version="1.0" encoding="utf-8"?>
<sst xmlns="http://schemas.openxmlformats.org/spreadsheetml/2006/main" count="157" uniqueCount="111">
  <si>
    <t>Transfer</t>
  </si>
  <si>
    <t>TOTAL</t>
  </si>
  <si>
    <t>OPENING BALANCE</t>
  </si>
  <si>
    <t>BANK BALANCE</t>
  </si>
  <si>
    <t>EXTRA INCOME</t>
  </si>
  <si>
    <t>DAMAGE &amp; LOSS</t>
  </si>
  <si>
    <t>NET PROFIT</t>
  </si>
  <si>
    <t>TOTAL INCOME</t>
  </si>
  <si>
    <t>TOTAL EXPENSE</t>
  </si>
  <si>
    <t>Profit</t>
  </si>
  <si>
    <t>Recharge &amp;</t>
  </si>
  <si>
    <t xml:space="preserve">Mobile </t>
  </si>
  <si>
    <t>Repairing</t>
  </si>
  <si>
    <t>Service-Wise Net Profit Tracker</t>
  </si>
  <si>
    <t>Payment Mode Summary</t>
  </si>
  <si>
    <t>Bank Balance</t>
  </si>
  <si>
    <t>Financial Business Dashboard</t>
  </si>
  <si>
    <t>SK MOBILE SHOP</t>
  </si>
  <si>
    <t>DMT 99</t>
  </si>
  <si>
    <t>DMT 86</t>
  </si>
  <si>
    <t>IME</t>
  </si>
  <si>
    <t xml:space="preserve">DATE </t>
  </si>
  <si>
    <t xml:space="preserve">DMT </t>
  </si>
  <si>
    <t>AEPS</t>
  </si>
  <si>
    <t>NEPAL</t>
  </si>
  <si>
    <t>BILL PAY</t>
  </si>
  <si>
    <t>QR</t>
  </si>
  <si>
    <t>CREDIT</t>
  </si>
  <si>
    <t>wallet</t>
  </si>
  <si>
    <t>UPI</t>
  </si>
  <si>
    <t>ppi</t>
  </si>
  <si>
    <t>RECHARGE REPORTS</t>
  </si>
  <si>
    <t>AIRTEL</t>
  </si>
  <si>
    <t>JIO</t>
  </si>
  <si>
    <t>VI</t>
  </si>
  <si>
    <t>BSNL</t>
  </si>
  <si>
    <t>ALL IN 1</t>
  </si>
  <si>
    <t>DATE</t>
  </si>
  <si>
    <t>SALE &amp; P</t>
  </si>
  <si>
    <t>CHLLAR</t>
  </si>
  <si>
    <t>ACT</t>
  </si>
  <si>
    <t>MNP</t>
  </si>
  <si>
    <t>CHILLAR</t>
  </si>
  <si>
    <t>SALE&amp;P</t>
  </si>
  <si>
    <t>MONEY TRANSFER REPORT</t>
  </si>
  <si>
    <t>Mobile Accessories &amp; Repairing</t>
  </si>
  <si>
    <t>Date</t>
  </si>
  <si>
    <t>NO. OF REP</t>
  </si>
  <si>
    <t>Cost</t>
  </si>
  <si>
    <t>PROFIT</t>
  </si>
  <si>
    <t>SALE</t>
  </si>
  <si>
    <t>COST</t>
  </si>
  <si>
    <t>DESCRIPTION</t>
  </si>
  <si>
    <t>AMOUNT</t>
  </si>
  <si>
    <t>MOBILE &amp; ACC.SALE</t>
  </si>
  <si>
    <t>Descrip</t>
  </si>
  <si>
    <t>salary</t>
  </si>
  <si>
    <t>Tea &amp; nasta</t>
  </si>
  <si>
    <t>shop exp</t>
  </si>
  <si>
    <t>Repairing Damage</t>
  </si>
  <si>
    <t>amount</t>
  </si>
  <si>
    <t>AYEMAN</t>
  </si>
  <si>
    <t>WATER,TEA</t>
  </si>
  <si>
    <t>WATER</t>
  </si>
  <si>
    <t>WATER,JUICE</t>
  </si>
  <si>
    <t>A6XD+,MATTE PANNI</t>
  </si>
  <si>
    <t>water nasta</t>
  </si>
  <si>
    <t>15C D+</t>
  </si>
  <si>
    <t>nasta pani</t>
  </si>
  <si>
    <t>WATER TEA</t>
  </si>
  <si>
    <t>accessories damage</t>
  </si>
  <si>
    <t>SHOP EXPENSES</t>
  </si>
  <si>
    <t>WITHDRWAL</t>
  </si>
  <si>
    <t>DIRECT AC</t>
  </si>
  <si>
    <t>SALES QR</t>
  </si>
  <si>
    <t>TRANSFER QR</t>
  </si>
  <si>
    <t>CASH</t>
  </si>
  <si>
    <t>PARTY PAYMENT</t>
  </si>
  <si>
    <t xml:space="preserve">PARTY </t>
  </si>
  <si>
    <t>OUT STANDING</t>
  </si>
  <si>
    <t>IN</t>
  </si>
  <si>
    <t>OUT</t>
  </si>
  <si>
    <t xml:space="preserve">MATETAILIN </t>
  </si>
  <si>
    <t>PAYMENT OUT</t>
  </si>
  <si>
    <t xml:space="preserve">UDHAR </t>
  </si>
  <si>
    <t>PAYMENT IN</t>
  </si>
  <si>
    <t>BANK</t>
  </si>
  <si>
    <t>OPENING</t>
  </si>
  <si>
    <t>ONE 7</t>
  </si>
  <si>
    <t>UDHAR +</t>
  </si>
  <si>
    <t>PARTY PAYMENT -</t>
  </si>
  <si>
    <t>AFAK</t>
  </si>
  <si>
    <t>WATER NASTA</t>
  </si>
  <si>
    <t>umesh online</t>
  </si>
  <si>
    <t xml:space="preserve">TOTAL </t>
  </si>
  <si>
    <t>TOTAL WITHDRAWAL</t>
  </si>
  <si>
    <t>DESCRITION</t>
  </si>
  <si>
    <t>Cash &amp; Portal Balance</t>
  </si>
  <si>
    <t>ONE 7, PURCHASE</t>
  </si>
  <si>
    <t>ACCESSORIES</t>
  </si>
  <si>
    <t xml:space="preserve">MOBILE &amp; </t>
  </si>
  <si>
    <t>water,nasta</t>
  </si>
  <si>
    <t>water</t>
  </si>
  <si>
    <t>TOTAL REPAIR</t>
  </si>
  <si>
    <t>TOTAL MOBILE, ACCESS</t>
  </si>
  <si>
    <t>sagar</t>
  </si>
  <si>
    <t>bissi</t>
  </si>
  <si>
    <t>kharcha</t>
  </si>
  <si>
    <t>round figer</t>
  </si>
  <si>
    <t>WATER,NASTA</t>
  </si>
  <si>
    <t>uv glaas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</si>
</sst>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1E293B"/>
      </bottom>
      <diagonal/>
    </border>
    <border>
      <left style="thin">
        <color indexed="64"/>
      </left>
      <right style="thin">
        <color indexed="64"/>
      </right>
      <top style="medium">
        <color rgb="FF1E293B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0" xfId="0"/>
    <xf numFmtId="0" fontId="14" fillId="5" borderId="0" xfId="0" applyFont="1" applyFill="1" applyBorder="1" applyAlignment="1">
      <alignment horizontal="right" vertical="center"/>
    </xf>
    <xf numFmtId="0" fontId="0" fillId="2" borderId="1" xfId="0" applyFill="1" applyBorder="1"/>
    <xf numFmtId="164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3" fillId="2" borderId="7" xfId="0" applyFont="1" applyFill="1" applyBorder="1" applyAlignment="1"/>
    <xf numFmtId="0" fontId="3" fillId="2" borderId="3" xfId="0" applyFont="1" applyFill="1" applyBorder="1" applyAlignment="1"/>
    <xf numFmtId="0" fontId="1" fillId="2" borderId="9" xfId="0" applyFont="1" applyFill="1" applyBorder="1" applyAlignment="1"/>
    <xf numFmtId="0" fontId="1" fillId="2" borderId="10" xfId="0" applyFont="1" applyFill="1" applyBorder="1" applyAlignment="1"/>
    <xf numFmtId="0" fontId="1" fillId="7" borderId="1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4" borderId="1" xfId="0" applyFill="1" applyBorder="1"/>
    <xf numFmtId="164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/>
    <xf numFmtId="0" fontId="0" fillId="3" borderId="1" xfId="0" applyFill="1" applyBorder="1" applyAlignment="1"/>
    <xf numFmtId="0" fontId="0" fillId="2" borderId="1" xfId="0" applyFill="1" applyBorder="1" applyAlignment="1"/>
    <xf numFmtId="0" fontId="0" fillId="0" borderId="0" xfId="0"/>
    <xf numFmtId="0" fontId="12" fillId="7" borderId="1" xfId="0" applyFont="1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0" fillId="5" borderId="1" xfId="0" applyFill="1" applyBorder="1" applyAlignment="1">
      <alignment vertical="center"/>
    </xf>
    <xf numFmtId="164" fontId="0" fillId="0" borderId="1" xfId="0" applyNumberFormat="1" applyFill="1" applyBorder="1"/>
    <xf numFmtId="0" fontId="0" fillId="0" borderId="1" xfId="0" applyFill="1" applyBorder="1"/>
    <xf numFmtId="0" fontId="0" fillId="0" borderId="1" xfId="0" applyFill="1" applyBorder="1" applyAlignment="1">
      <alignment vertical="center"/>
    </xf>
    <xf numFmtId="0" fontId="12" fillId="8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0" borderId="4" xfId="0" applyBorder="1" applyAlignment="1">
      <alignment vertical="center"/>
    </xf>
    <xf numFmtId="0" fontId="14" fillId="5" borderId="26" xfId="0" applyFont="1" applyFill="1" applyBorder="1" applyAlignment="1">
      <alignment horizontal="right" vertical="center"/>
    </xf>
    <xf numFmtId="0" fontId="14" fillId="5" borderId="27" xfId="0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6" borderId="1" xfId="0" applyFill="1" applyBorder="1"/>
    <xf numFmtId="164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0" fontId="0" fillId="0" borderId="1" xfId="0" applyBorder="1"/>
    <xf numFmtId="0" fontId="0" fillId="5" borderId="1" xfId="0" applyFill="1" applyBorder="1"/>
    <xf numFmtId="0" fontId="0" fillId="10" borderId="1" xfId="0" applyFill="1" applyBorder="1" applyAlignment="1">
      <alignment horizontal="center"/>
    </xf>
    <xf numFmtId="0" fontId="0" fillId="0" borderId="0" xfId="0"/>
    <xf numFmtId="0" fontId="6" fillId="6" borderId="1" xfId="0" applyFont="1" applyFill="1" applyBorder="1" applyAlignment="1">
      <alignment horizontal="center"/>
    </xf>
    <xf numFmtId="0" fontId="0" fillId="6" borderId="1" xfId="0" applyFill="1" applyBorder="1"/>
    <xf numFmtId="164" fontId="0" fillId="6" borderId="1" xfId="0" applyNumberFormat="1" applyFill="1" applyBorder="1"/>
    <xf numFmtId="0" fontId="0" fillId="0" borderId="1" xfId="0" applyBorder="1"/>
    <xf numFmtId="0" fontId="0" fillId="0" borderId="1" xfId="0" applyFill="1" applyBorder="1"/>
    <xf numFmtId="0" fontId="0" fillId="6" borderId="1" xfId="0" applyFill="1" applyBorder="1" applyAlignment="1"/>
    <xf numFmtId="0" fontId="0" fillId="6" borderId="14" xfId="0" applyFill="1" applyBorder="1" applyAlignment="1"/>
    <xf numFmtId="0" fontId="0" fillId="0" borderId="14" xfId="0" applyFill="1" applyBorder="1"/>
    <xf numFmtId="0" fontId="0" fillId="2" borderId="18" xfId="0" applyFill="1" applyBorder="1"/>
    <xf numFmtId="0" fontId="0" fillId="6" borderId="0" xfId="0" applyFill="1" applyBorder="1"/>
    <xf numFmtId="0" fontId="0" fillId="6" borderId="39" xfId="0" applyFill="1" applyBorder="1" applyAlignment="1"/>
    <xf numFmtId="0" fontId="0" fillId="6" borderId="40" xfId="0" applyFill="1" applyBorder="1"/>
    <xf numFmtId="0" fontId="0" fillId="0" borderId="0" xfId="0" applyBorder="1"/>
    <xf numFmtId="0" fontId="0" fillId="0" borderId="40" xfId="0" applyBorder="1"/>
    <xf numFmtId="0" fontId="0" fillId="6" borderId="33" xfId="0" applyFill="1" applyBorder="1"/>
    <xf numFmtId="0" fontId="0" fillId="0" borderId="41" xfId="0" applyBorder="1"/>
    <xf numFmtId="0" fontId="0" fillId="6" borderId="34" xfId="0" applyFill="1" applyBorder="1"/>
    <xf numFmtId="0" fontId="14" fillId="11" borderId="5" xfId="0" applyFont="1" applyFill="1" applyBorder="1" applyAlignment="1">
      <alignment horizontal="right" vertical="center"/>
    </xf>
    <xf numFmtId="0" fontId="13" fillId="11" borderId="6" xfId="0" applyFont="1" applyFill="1" applyBorder="1" applyAlignment="1">
      <alignment horizontal="right"/>
    </xf>
    <xf numFmtId="0" fontId="14" fillId="12" borderId="5" xfId="0" applyFont="1" applyFill="1" applyBorder="1" applyAlignment="1">
      <alignment horizontal="right" vertical="center"/>
    </xf>
    <xf numFmtId="0" fontId="13" fillId="12" borderId="6" xfId="0" applyFont="1" applyFill="1" applyBorder="1" applyAlignment="1">
      <alignment horizontal="right" vertical="center"/>
    </xf>
    <xf numFmtId="0" fontId="14" fillId="2" borderId="5" xfId="0" applyFont="1" applyFill="1" applyBorder="1" applyAlignment="1">
      <alignment horizontal="right" vertical="center"/>
    </xf>
    <xf numFmtId="0" fontId="13" fillId="2" borderId="6" xfId="0" applyFont="1" applyFill="1" applyBorder="1" applyAlignment="1">
      <alignment horizontal="right" vertical="center"/>
    </xf>
    <xf numFmtId="0" fontId="14" fillId="14" borderId="5" xfId="0" applyFont="1" applyFill="1" applyBorder="1" applyAlignment="1">
      <alignment horizontal="right" vertical="center"/>
    </xf>
    <xf numFmtId="0" fontId="13" fillId="14" borderId="6" xfId="0" applyFont="1" applyFill="1" applyBorder="1" applyAlignment="1">
      <alignment horizontal="right" vertical="center"/>
    </xf>
    <xf numFmtId="0" fontId="14" fillId="4" borderId="23" xfId="0" applyFont="1" applyFill="1" applyBorder="1" applyAlignment="1">
      <alignment horizontal="right" vertical="center"/>
    </xf>
    <xf numFmtId="0" fontId="13" fillId="4" borderId="25" xfId="0" applyFont="1" applyFill="1" applyBorder="1" applyAlignment="1">
      <alignment horizontal="right" vertical="center"/>
    </xf>
    <xf numFmtId="0" fontId="14" fillId="13" borderId="22" xfId="0" applyFont="1" applyFill="1" applyBorder="1" applyAlignment="1">
      <alignment horizontal="right" vertical="center"/>
    </xf>
    <xf numFmtId="0" fontId="13" fillId="13" borderId="24" xfId="0" applyFont="1" applyFill="1" applyBorder="1" applyAlignment="1">
      <alignment horizontal="right" vertical="center"/>
    </xf>
    <xf numFmtId="0" fontId="0" fillId="10" borderId="42" xfId="0" applyFill="1" applyBorder="1"/>
    <xf numFmtId="0" fontId="13" fillId="10" borderId="41" xfId="0" applyFont="1" applyFill="1" applyBorder="1" applyAlignment="1">
      <alignment horizontal="center" vertical="center"/>
    </xf>
    <xf numFmtId="0" fontId="13" fillId="10" borderId="43" xfId="0" applyFont="1" applyFill="1" applyBorder="1" applyAlignment="1">
      <alignment horizontal="center" vertical="center"/>
    </xf>
    <xf numFmtId="0" fontId="0" fillId="15" borderId="22" xfId="0" applyFill="1" applyBorder="1" applyAlignment="1">
      <alignment horizontal="center"/>
    </xf>
    <xf numFmtId="0" fontId="13" fillId="15" borderId="5" xfId="0" applyFont="1" applyFill="1" applyBorder="1" applyAlignment="1">
      <alignment horizontal="right"/>
    </xf>
    <xf numFmtId="0" fontId="13" fillId="15" borderId="5" xfId="0" applyFont="1" applyFill="1" applyBorder="1"/>
    <xf numFmtId="0" fontId="13" fillId="15" borderId="30" xfId="0" applyFont="1" applyFill="1" applyBorder="1" applyAlignment="1">
      <alignment horizontal="right"/>
    </xf>
    <xf numFmtId="0" fontId="13" fillId="15" borderId="14" xfId="0" applyFont="1" applyFill="1" applyBorder="1" applyAlignment="1">
      <alignment horizontal="right"/>
    </xf>
    <xf numFmtId="0" fontId="0" fillId="15" borderId="14" xfId="0" applyFill="1" applyBorder="1"/>
    <xf numFmtId="0" fontId="0" fillId="15" borderId="30" xfId="0" applyFill="1" applyBorder="1"/>
    <xf numFmtId="0" fontId="13" fillId="15" borderId="33" xfId="0" applyFont="1" applyFill="1" applyBorder="1" applyAlignment="1">
      <alignment horizontal="center" vertical="center"/>
    </xf>
    <xf numFmtId="0" fontId="13" fillId="15" borderId="34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/>
    </xf>
    <xf numFmtId="0" fontId="9" fillId="16" borderId="0" xfId="0" applyFont="1" applyFill="1" applyAlignment="1">
      <alignment horizontal="center" vertical="center"/>
    </xf>
    <xf numFmtId="0" fontId="13" fillId="10" borderId="41" xfId="0" applyFont="1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3" fillId="13" borderId="23" xfId="0" applyFont="1" applyFill="1" applyBorder="1" applyAlignment="1">
      <alignment horizontal="center" vertical="center"/>
    </xf>
    <xf numFmtId="0" fontId="13" fillId="13" borderId="25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3" fillId="15" borderId="18" xfId="0" applyFont="1" applyFill="1" applyBorder="1" applyAlignment="1">
      <alignment horizontal="center" vertical="center"/>
    </xf>
    <xf numFmtId="0" fontId="3" fillId="15" borderId="19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3" fillId="15" borderId="21" xfId="0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29" xfId="0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center" vertical="center" wrapText="1"/>
    </xf>
    <xf numFmtId="0" fontId="15" fillId="13" borderId="15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3" fillId="15" borderId="17" xfId="0" applyFont="1" applyFill="1" applyBorder="1" applyAlignment="1">
      <alignment horizontal="center" vertical="center"/>
    </xf>
    <xf numFmtId="0" fontId="3" fillId="15" borderId="20" xfId="0" applyFont="1" applyFill="1" applyBorder="1" applyAlignment="1">
      <alignment horizontal="center" vertical="center"/>
    </xf>
    <xf numFmtId="0" fontId="9" fillId="15" borderId="30" xfId="0" applyFont="1" applyFill="1" applyBorder="1" applyAlignment="1">
      <alignment horizontal="center" vertical="center"/>
    </xf>
    <xf numFmtId="0" fontId="9" fillId="15" borderId="31" xfId="0" applyFont="1" applyFill="1" applyBorder="1" applyAlignment="1">
      <alignment horizontal="center" vertical="center"/>
    </xf>
    <xf numFmtId="0" fontId="9" fillId="15" borderId="14" xfId="0" applyFont="1" applyFill="1" applyBorder="1" applyAlignment="1">
      <alignment horizontal="center" vertical="center"/>
    </xf>
    <xf numFmtId="0" fontId="9" fillId="15" borderId="32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/>
    </xf>
    <xf numFmtId="0" fontId="9" fillId="2" borderId="35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0" fillId="2" borderId="3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5</xdr:col>
      <xdr:colOff>628650</xdr:colOff>
      <xdr:row>3</xdr:row>
      <xdr:rowOff>228600</xdr:rowOff>
    </xdr:to>
    <xdr:pic>
      <xdr:nvPicPr>
        <xdr:cNvPr id="10" name="Picture 8" descr="Profit icons for free download | Freepi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552450"/>
          <a:ext cx="628650" cy="6286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</xdr:colOff>
      <xdr:row>1</xdr:row>
      <xdr:rowOff>314324</xdr:rowOff>
    </xdr:from>
    <xdr:to>
      <xdr:col>0</xdr:col>
      <xdr:colOff>781050</xdr:colOff>
      <xdr:row>4</xdr:row>
      <xdr:rowOff>38099</xdr:rowOff>
    </xdr:to>
    <xdr:pic>
      <xdr:nvPicPr>
        <xdr:cNvPr id="11" name="Picture 10" descr="Balance, open, wallet icon - Download on Iconfinder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" y="552449"/>
          <a:ext cx="781049" cy="6762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666750</xdr:colOff>
      <xdr:row>4</xdr:row>
      <xdr:rowOff>0</xdr:rowOff>
    </xdr:to>
    <xdr:pic>
      <xdr:nvPicPr>
        <xdr:cNvPr id="12" name="Picture 12" descr="Advance payment Computer Icons Invoice Money, Cash on Delivery, blue, text  png | PNGEg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400550" y="581025"/>
          <a:ext cx="666750" cy="609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</xdr:row>
      <xdr:rowOff>9526</xdr:rowOff>
    </xdr:from>
    <xdr:to>
      <xdr:col>1</xdr:col>
      <xdr:colOff>914400</xdr:colOff>
      <xdr:row>3</xdr:row>
      <xdr:rowOff>228600</xdr:rowOff>
    </xdr:to>
    <xdr:pic>
      <xdr:nvPicPr>
        <xdr:cNvPr id="13" name="Picture 6" descr="Money Receiving Rupee Color icon SVG Vector &amp; PNG Free ...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066925" y="561976"/>
          <a:ext cx="914400" cy="61912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800100</xdr:colOff>
      <xdr:row>13</xdr:row>
      <xdr:rowOff>152400</xdr:rowOff>
    </xdr:to>
    <xdr:sp macro="" textlink="">
      <xdr:nvSpPr>
        <xdr:cNvPr id="1027" name="AutoShape 3" descr="withdraw icon png from www.flaticon.com"/>
        <xdr:cNvSpPr>
          <a:spLocks noChangeAspect="1" noChangeArrowheads="1"/>
        </xdr:cNvSpPr>
      </xdr:nvSpPr>
      <xdr:spPr bwMode="auto">
        <a:xfrm>
          <a:off x="4638675" y="2190750"/>
          <a:ext cx="800100" cy="876300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0</xdr:colOff>
      <xdr:row>2</xdr:row>
      <xdr:rowOff>19049</xdr:rowOff>
    </xdr:from>
    <xdr:to>
      <xdr:col>3</xdr:col>
      <xdr:colOff>685800</xdr:colOff>
      <xdr:row>4</xdr:row>
      <xdr:rowOff>0</xdr:rowOff>
    </xdr:to>
    <xdr:pic>
      <xdr:nvPicPr>
        <xdr:cNvPr id="1028" name="Picture 4" descr="C:\Users\DELL\Downloads\download (1).png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6553200" y="571499"/>
          <a:ext cx="685800" cy="619126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19050</xdr:colOff>
      <xdr:row>2</xdr:row>
      <xdr:rowOff>19051</xdr:rowOff>
    </xdr:from>
    <xdr:to>
      <xdr:col>4</xdr:col>
      <xdr:colOff>733425</xdr:colOff>
      <xdr:row>4</xdr:row>
      <xdr:rowOff>0</xdr:rowOff>
    </xdr:to>
    <xdr:pic>
      <xdr:nvPicPr>
        <xdr:cNvPr id="1030" name="Picture 6" descr="C:\Users\DELL\Downloads\images.png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8924925" y="571501"/>
          <a:ext cx="714375" cy="6191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971550</xdr:colOff>
      <xdr:row>17</xdr:row>
      <xdr:rowOff>19050</xdr:rowOff>
    </xdr:to>
    <xdr:sp macro="" textlink="">
      <xdr:nvSpPr>
        <xdr:cNvPr id="1031" name="AutoShape 7" descr="Money Recharge Icons - Free SVG &amp; PNG ..."/>
        <xdr:cNvSpPr>
          <a:spLocks noChangeAspect="1" noChangeArrowheads="1"/>
        </xdr:cNvSpPr>
      </xdr:nvSpPr>
      <xdr:spPr bwMode="auto">
        <a:xfrm>
          <a:off x="2076450" y="2762250"/>
          <a:ext cx="971550" cy="108585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47625</xdr:rowOff>
    </xdr:to>
    <xdr:sp macro="" textlink="">
      <xdr:nvSpPr>
        <xdr:cNvPr id="1033" name="AutoShape 9" descr="C:\Users\DELL\AppData\Local\Temp\{9B7D8F37-28BB-46A9-A5B9-57218BEB02FC}.tmp"/>
        <xdr:cNvSpPr>
          <a:spLocks noChangeAspect="1" noChangeArrowheads="1"/>
        </xdr:cNvSpPr>
      </xdr:nvSpPr>
      <xdr:spPr bwMode="auto">
        <a:xfrm>
          <a:off x="2066925" y="37623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1034" name="AutoShape 10" descr="C:\Users\DELL\AppData\Local\Temp\{9B7D8F37-28BB-46A9-A5B9-57218BEB02FC}.tmp"/>
        <xdr:cNvSpPr>
          <a:spLocks noChangeAspect="1" noChangeArrowheads="1"/>
        </xdr:cNvSpPr>
      </xdr:nvSpPr>
      <xdr:spPr bwMode="auto">
        <a:xfrm>
          <a:off x="2066925" y="47148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2066924</xdr:colOff>
      <xdr:row>15</xdr:row>
      <xdr:rowOff>104775</xdr:rowOff>
    </xdr:from>
    <xdr:to>
      <xdr:col>1</xdr:col>
      <xdr:colOff>1152524</xdr:colOff>
      <xdr:row>21</xdr:row>
      <xdr:rowOff>47625</xdr:rowOff>
    </xdr:to>
    <xdr:sp macro="" textlink="">
      <xdr:nvSpPr>
        <xdr:cNvPr id="1035" name="AutoShape 11" descr="C:\Users\DELL\AppData\Local\Temp\{5226F11F-BB38-4D39-AC5C-3BCA4B9AEB6F}.tmp"/>
        <xdr:cNvSpPr>
          <a:spLocks noChangeAspect="1" noChangeArrowheads="1"/>
        </xdr:cNvSpPr>
      </xdr:nvSpPr>
      <xdr:spPr bwMode="auto">
        <a:xfrm>
          <a:off x="2066924" y="3867150"/>
          <a:ext cx="1152525" cy="115252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036" name="AutoShape 12" descr="C:\Users\DELL\AppData\Local\Temp\{5A6464DD-4545-42A5-B075-A969CAA56F23}.tmp"/>
        <xdr:cNvSpPr>
          <a:spLocks noChangeAspect="1" noChangeArrowheads="1"/>
        </xdr:cNvSpPr>
      </xdr:nvSpPr>
      <xdr:spPr bwMode="auto">
        <a:xfrm>
          <a:off x="2066925" y="39528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0</xdr:colOff>
      <xdr:row>13</xdr:row>
      <xdr:rowOff>219074</xdr:rowOff>
    </xdr:from>
    <xdr:to>
      <xdr:col>4</xdr:col>
      <xdr:colOff>285750</xdr:colOff>
      <xdr:row>21</xdr:row>
      <xdr:rowOff>133349</xdr:rowOff>
    </xdr:to>
    <xdr:sp macro="" textlink="">
      <xdr:nvSpPr>
        <xdr:cNvPr id="1037" name="AutoShape 13" descr="C:\Users\DELL\AppData\Local\Temp\{82FD8F1B-83C3-48F9-8BFB-27A4C826B2EF}.tmp"/>
        <xdr:cNvSpPr>
          <a:spLocks noChangeAspect="1" noChangeArrowheads="1"/>
        </xdr:cNvSpPr>
      </xdr:nvSpPr>
      <xdr:spPr bwMode="auto">
        <a:xfrm>
          <a:off x="6553200" y="3476624"/>
          <a:ext cx="2381250" cy="17430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85725</xdr:colOff>
      <xdr:row>14</xdr:row>
      <xdr:rowOff>247649</xdr:rowOff>
    </xdr:from>
    <xdr:to>
      <xdr:col>0</xdr:col>
      <xdr:colOff>1990725</xdr:colOff>
      <xdr:row>20</xdr:row>
      <xdr:rowOff>133349</xdr:rowOff>
    </xdr:to>
    <xdr:sp macro="" textlink="">
      <xdr:nvSpPr>
        <xdr:cNvPr id="1025" name="AutoShape 1" descr="blob:https://web.whatsapp.com/942368c7-4ffb-4d0b-aea9-47526171863d"/>
        <xdr:cNvSpPr>
          <a:spLocks noChangeAspect="1" noChangeArrowheads="1"/>
        </xdr:cNvSpPr>
      </xdr:nvSpPr>
      <xdr:spPr bwMode="auto">
        <a:xfrm>
          <a:off x="85725" y="3857624"/>
          <a:ext cx="1905000" cy="122872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16</xdr:row>
      <xdr:rowOff>142875</xdr:rowOff>
    </xdr:from>
    <xdr:to>
      <xdr:col>1</xdr:col>
      <xdr:colOff>1657350</xdr:colOff>
      <xdr:row>26</xdr:row>
      <xdr:rowOff>66674</xdr:rowOff>
    </xdr:to>
    <xdr:sp macro="" textlink="">
      <xdr:nvSpPr>
        <xdr:cNvPr id="1026" name="AutoShape 2" descr="blob:https://web.whatsapp.com/942368c7-4ffb-4d0b-aea9-47526171863d"/>
        <xdr:cNvSpPr>
          <a:spLocks noChangeAspect="1" noChangeArrowheads="1"/>
        </xdr:cNvSpPr>
      </xdr:nvSpPr>
      <xdr:spPr bwMode="auto">
        <a:xfrm>
          <a:off x="2066925" y="4095750"/>
          <a:ext cx="1657350" cy="182879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47625</xdr:colOff>
      <xdr:row>6</xdr:row>
      <xdr:rowOff>24927</xdr:rowOff>
    </xdr:from>
    <xdr:to>
      <xdr:col>1</xdr:col>
      <xdr:colOff>1209675</xdr:colOff>
      <xdr:row>11</xdr:row>
      <xdr:rowOff>133350</xdr:rowOff>
    </xdr:to>
    <xdr:pic>
      <xdr:nvPicPr>
        <xdr:cNvPr id="2" name="Picture 3" descr="C:\Users\DELL\Downloads\WhatsApp Image 2026-05-19 at 1.18.08 PM (2).jpeg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114550" y="1653702"/>
          <a:ext cx="1162050" cy="126094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6</xdr:row>
      <xdr:rowOff>38100</xdr:rowOff>
    </xdr:from>
    <xdr:to>
      <xdr:col>0</xdr:col>
      <xdr:colOff>1066800</xdr:colOff>
      <xdr:row>11</xdr:row>
      <xdr:rowOff>114300</xdr:rowOff>
    </xdr:to>
    <xdr:pic>
      <xdr:nvPicPr>
        <xdr:cNvPr id="3" name="Picture 4" descr="C:\Users\DELL\Downloads\WhatsApp Image 2026-05-19 at 1.18.08 PM (1).jpeg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38100" y="1666875"/>
          <a:ext cx="1028700" cy="12287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28576</xdr:colOff>
      <xdr:row>6</xdr:row>
      <xdr:rowOff>19050</xdr:rowOff>
    </xdr:from>
    <xdr:to>
      <xdr:col>2</xdr:col>
      <xdr:colOff>971550</xdr:colOff>
      <xdr:row>11</xdr:row>
      <xdr:rowOff>142875</xdr:rowOff>
    </xdr:to>
    <xdr:pic>
      <xdr:nvPicPr>
        <xdr:cNvPr id="1029" name="Picture 5" descr="C:\Users\DELL\Downloads\WhatsApp Image 2026-05-19 at 1.18.08 PM.jpeg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4429126" y="1590675"/>
          <a:ext cx="942974" cy="1276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6</xdr:row>
      <xdr:rowOff>28574</xdr:rowOff>
    </xdr:from>
    <xdr:to>
      <xdr:col>3</xdr:col>
      <xdr:colOff>904875</xdr:colOff>
      <xdr:row>11</xdr:row>
      <xdr:rowOff>142874</xdr:rowOff>
    </xdr:to>
    <xdr:pic>
      <xdr:nvPicPr>
        <xdr:cNvPr id="4" name="Picture 6" descr="C:\Users\DELL\Downloads\WhatsApp Image 2026-05-19 at 1.39.40 PM.jpeg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6553200" y="1600199"/>
          <a:ext cx="904875" cy="12668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selection activeCell="A15" sqref="A15"/>
    </sheetView>
  </sheetViews>
  <sheetFormatPr defaultRowHeight="15"/>
  <cols>
    <col min="1" max="1" width="31" customWidth="1"/>
    <col min="2" max="2" width="35" customWidth="1"/>
    <col min="3" max="3" width="32.28515625" customWidth="1"/>
    <col min="4" max="4" width="31.42578125" customWidth="1"/>
    <col min="5" max="5" width="29.140625" customWidth="1"/>
    <col min="6" max="6" width="28.28515625" customWidth="1"/>
  </cols>
  <sheetData>
    <row r="1" spans="1:6" s="1" customFormat="1" ht="18.75" customHeight="1">
      <c r="A1" s="115" t="s">
        <v>17</v>
      </c>
      <c r="B1" s="104"/>
      <c r="C1" s="104" t="s">
        <v>16</v>
      </c>
      <c r="D1" s="104"/>
      <c r="E1" s="104"/>
      <c r="F1" s="105"/>
    </row>
    <row r="2" spans="1:6" ht="24.75" customHeight="1">
      <c r="A2" s="116"/>
      <c r="B2" s="106"/>
      <c r="C2" s="106"/>
      <c r="D2" s="106"/>
      <c r="E2" s="106"/>
      <c r="F2" s="107"/>
    </row>
    <row r="3" spans="1:6" ht="31.5" customHeight="1">
      <c r="A3" s="78" t="s">
        <v>2</v>
      </c>
      <c r="B3" s="68" t="s">
        <v>7</v>
      </c>
      <c r="C3" s="72" t="s">
        <v>8</v>
      </c>
      <c r="D3" s="70" t="s">
        <v>95</v>
      </c>
      <c r="E3" s="74" t="s">
        <v>5</v>
      </c>
      <c r="F3" s="76" t="s">
        <v>6</v>
      </c>
    </row>
    <row r="4" spans="1:6" ht="18.75" customHeight="1">
      <c r="A4" s="79">
        <v>910000</v>
      </c>
      <c r="B4" s="69">
        <f>A12+B12+C12</f>
        <v>127352.03</v>
      </c>
      <c r="C4" s="73">
        <f>Sheet5!H34</f>
        <v>1139</v>
      </c>
      <c r="D4" s="71">
        <f>Sheet6!S34</f>
        <v>110500</v>
      </c>
      <c r="E4" s="75">
        <f>Sheet5!N34</f>
        <v>80</v>
      </c>
      <c r="F4" s="77">
        <f>A4+B4-C4-D4-E4</f>
        <v>925633.03</v>
      </c>
    </row>
    <row r="5" spans="1:6" s="1" customFormat="1" ht="15.75" customHeight="1">
      <c r="A5" s="40"/>
      <c r="B5" s="2"/>
      <c r="C5" s="2"/>
      <c r="D5" s="2"/>
      <c r="E5" s="2"/>
      <c r="F5" s="41"/>
    </row>
    <row r="6" spans="1:6" ht="18.75" customHeight="1">
      <c r="A6" s="108" t="s">
        <v>13</v>
      </c>
      <c r="B6" s="109"/>
      <c r="C6" s="109"/>
      <c r="D6" s="109"/>
      <c r="E6" s="109" t="s">
        <v>14</v>
      </c>
      <c r="F6" s="110"/>
    </row>
    <row r="7" spans="1:6" ht="18.75">
      <c r="A7" s="83"/>
      <c r="B7" s="84"/>
      <c r="C7" s="85"/>
      <c r="D7" s="85"/>
      <c r="E7" s="111" t="s">
        <v>97</v>
      </c>
      <c r="F7" s="98">
        <f>A4+A12+B15+C15+D12-C4-D4-E4-F9</f>
        <v>953279.03</v>
      </c>
    </row>
    <row r="8" spans="1:6" ht="19.5" thickBot="1">
      <c r="A8" s="86" t="s">
        <v>10</v>
      </c>
      <c r="B8" s="87" t="s">
        <v>11</v>
      </c>
      <c r="C8" s="87" t="s">
        <v>100</v>
      </c>
      <c r="D8" s="87" t="s">
        <v>4</v>
      </c>
      <c r="E8" s="112"/>
      <c r="F8" s="99"/>
    </row>
    <row r="9" spans="1:6" ht="18.75">
      <c r="A9" s="86" t="s">
        <v>0</v>
      </c>
      <c r="B9" s="87" t="s">
        <v>12</v>
      </c>
      <c r="C9" s="87" t="s">
        <v>99</v>
      </c>
      <c r="D9" s="88"/>
      <c r="E9" s="113" t="s">
        <v>15</v>
      </c>
      <c r="F9" s="100">
        <f>Sheet6!O34</f>
        <v>91627</v>
      </c>
    </row>
    <row r="10" spans="1:6" ht="18.75">
      <c r="A10" s="86" t="s">
        <v>9</v>
      </c>
      <c r="B10" s="87" t="s">
        <v>9</v>
      </c>
      <c r="C10" s="87" t="s">
        <v>9</v>
      </c>
      <c r="D10" s="88"/>
      <c r="E10" s="114"/>
      <c r="F10" s="101"/>
    </row>
    <row r="11" spans="1:6">
      <c r="A11" s="89"/>
      <c r="B11" s="88"/>
      <c r="C11" s="88"/>
      <c r="D11" s="88"/>
      <c r="E11" s="121" t="s">
        <v>89</v>
      </c>
      <c r="F11" s="102">
        <f>Sheet6!I34</f>
        <v>29499</v>
      </c>
    </row>
    <row r="12" spans="1:6">
      <c r="A12" s="117">
        <f>Sheet2!O37+Sheet3!T37</f>
        <v>49142.03</v>
      </c>
      <c r="B12" s="119">
        <f>Sheet4!E34</f>
        <v>39325</v>
      </c>
      <c r="C12" s="119">
        <f>Sheet4!I34</f>
        <v>38885</v>
      </c>
      <c r="D12" s="119">
        <f>Sheet4!L34</f>
        <v>58576</v>
      </c>
      <c r="E12" s="122"/>
      <c r="F12" s="103"/>
    </row>
    <row r="13" spans="1:6" ht="27" customHeight="1" thickBot="1">
      <c r="A13" s="118"/>
      <c r="B13" s="120"/>
      <c r="C13" s="120"/>
      <c r="D13" s="120"/>
      <c r="E13" s="90" t="s">
        <v>90</v>
      </c>
      <c r="F13" s="91">
        <f>Sheet6!E34</f>
        <v>44093</v>
      </c>
    </row>
    <row r="14" spans="1:6" ht="23.25" customHeight="1" thickBot="1">
      <c r="A14" s="80"/>
      <c r="B14" s="95" t="s">
        <v>103</v>
      </c>
      <c r="C14" s="95" t="s">
        <v>104</v>
      </c>
      <c r="D14" s="96"/>
      <c r="E14" s="81" t="s">
        <v>94</v>
      </c>
      <c r="F14" s="82">
        <f>F7+F9-F11-F13</f>
        <v>971314.03</v>
      </c>
    </row>
    <row r="15" spans="1:6" ht="25.5" customHeight="1">
      <c r="A15" s="94"/>
      <c r="B15" s="94">
        <f>Sheet4!C34</f>
        <v>74490</v>
      </c>
      <c r="C15" s="94">
        <f>Sheet4!G34</f>
        <v>64417</v>
      </c>
      <c r="D15" s="94"/>
      <c r="E15" s="94"/>
      <c r="F15" s="94"/>
    </row>
    <row r="16" spans="1:6" ht="20.25" customHeight="1">
      <c r="F16" s="97"/>
    </row>
  </sheetData>
  <mergeCells count="14">
    <mergeCell ref="F7:F8"/>
    <mergeCell ref="F9:F10"/>
    <mergeCell ref="F11:F12"/>
    <mergeCell ref="C1:F2"/>
    <mergeCell ref="A6:D6"/>
    <mergeCell ref="E6:F6"/>
    <mergeCell ref="E7:E8"/>
    <mergeCell ref="E9:E10"/>
    <mergeCell ref="A1:B2"/>
    <mergeCell ref="A12:A13"/>
    <mergeCell ref="B12:B13"/>
    <mergeCell ref="C12:C13"/>
    <mergeCell ref="D12:D13"/>
    <mergeCell ref="E11:E12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7"/>
  <sheetViews>
    <sheetView topLeftCell="A13" workbookViewId="0">
      <selection activeCell="J33" sqref="J33"/>
    </sheetView>
  </sheetViews>
  <sheetFormatPr defaultRowHeight="15"/>
  <cols>
    <col min="1" max="1" width="10.140625" bestFit="1" customWidth="1"/>
  </cols>
  <sheetData>
    <row r="1" spans="1:21" ht="42" customHeight="1">
      <c r="A1" s="123" t="s">
        <v>44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39"/>
      <c r="Q1" s="39"/>
      <c r="R1" s="39"/>
      <c r="S1" s="39"/>
      <c r="T1" s="39"/>
      <c r="U1" s="39"/>
    </row>
    <row r="2" spans="1:21" ht="28.5">
      <c r="A2" s="9"/>
      <c r="B2" s="124" t="s">
        <v>18</v>
      </c>
      <c r="C2" s="124"/>
      <c r="D2" s="124"/>
      <c r="E2" s="124"/>
      <c r="F2" s="124"/>
      <c r="G2" s="124" t="s">
        <v>19</v>
      </c>
      <c r="H2" s="124"/>
      <c r="I2" s="124"/>
      <c r="J2" s="124"/>
      <c r="K2" s="124"/>
      <c r="L2" s="124"/>
      <c r="M2" s="125" t="s">
        <v>20</v>
      </c>
      <c r="N2" s="125"/>
      <c r="O2" s="11"/>
    </row>
    <row r="3" spans="1:21" ht="17.25" customHeight="1">
      <c r="A3" s="10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6"/>
      <c r="N3" s="126"/>
      <c r="O3" s="12"/>
    </row>
    <row r="4" spans="1:21">
      <c r="A4" s="129" t="s">
        <v>21</v>
      </c>
      <c r="B4" s="128" t="s">
        <v>22</v>
      </c>
      <c r="C4" s="128" t="s">
        <v>23</v>
      </c>
      <c r="D4" s="128" t="s">
        <v>24</v>
      </c>
      <c r="E4" s="128" t="s">
        <v>25</v>
      </c>
      <c r="F4" s="14" t="s">
        <v>26</v>
      </c>
      <c r="G4" s="128" t="s">
        <v>22</v>
      </c>
      <c r="H4" s="128" t="s">
        <v>23</v>
      </c>
      <c r="I4" s="128" t="s">
        <v>27</v>
      </c>
      <c r="J4" s="132" t="s">
        <v>25</v>
      </c>
      <c r="K4" s="15" t="s">
        <v>28</v>
      </c>
      <c r="L4" s="15" t="s">
        <v>26</v>
      </c>
      <c r="M4" s="127" t="s">
        <v>24</v>
      </c>
      <c r="N4" s="127" t="s">
        <v>23</v>
      </c>
      <c r="O4" s="131" t="s">
        <v>1</v>
      </c>
    </row>
    <row r="5" spans="1:21">
      <c r="A5" s="129"/>
      <c r="B5" s="130"/>
      <c r="C5" s="130"/>
      <c r="D5" s="130"/>
      <c r="E5" s="130"/>
      <c r="F5" s="13" t="s">
        <v>29</v>
      </c>
      <c r="G5" s="130"/>
      <c r="H5" s="130"/>
      <c r="I5" s="130"/>
      <c r="J5" s="128"/>
      <c r="K5" s="14" t="s">
        <v>30</v>
      </c>
      <c r="L5" s="14" t="s">
        <v>29</v>
      </c>
      <c r="M5" s="128"/>
      <c r="N5" s="128"/>
      <c r="O5" s="131"/>
    </row>
    <row r="6" spans="1:21">
      <c r="A6" s="4">
        <v>46143</v>
      </c>
      <c r="B6" s="7"/>
      <c r="C6" s="7"/>
      <c r="D6" s="7"/>
      <c r="E6" s="7"/>
      <c r="F6" s="7"/>
      <c r="G6" s="5"/>
      <c r="H6" s="5"/>
      <c r="I6" s="5"/>
      <c r="J6" s="5"/>
      <c r="K6" s="5"/>
      <c r="L6" s="5"/>
      <c r="M6" s="7"/>
      <c r="N6" s="7"/>
      <c r="O6" s="8">
        <v>0</v>
      </c>
    </row>
    <row r="7" spans="1:21">
      <c r="A7" s="4">
        <v>46144</v>
      </c>
      <c r="B7" s="7"/>
      <c r="C7" s="7"/>
      <c r="D7" s="7"/>
      <c r="E7" s="7"/>
      <c r="F7" s="7"/>
      <c r="G7" s="5"/>
      <c r="H7" s="5"/>
      <c r="I7" s="5"/>
      <c r="J7" s="5"/>
      <c r="K7" s="5"/>
      <c r="L7" s="5"/>
      <c r="M7" s="7"/>
      <c r="N7" s="7"/>
      <c r="O7" s="8">
        <v>0</v>
      </c>
    </row>
    <row r="8" spans="1:21">
      <c r="A8" s="4">
        <v>46145</v>
      </c>
      <c r="B8" s="7"/>
      <c r="C8" s="7"/>
      <c r="D8" s="7"/>
      <c r="E8" s="7"/>
      <c r="F8" s="7"/>
      <c r="G8" s="5"/>
      <c r="H8" s="5"/>
      <c r="I8" s="5"/>
      <c r="J8" s="5"/>
      <c r="K8" s="5"/>
      <c r="L8" s="5"/>
      <c r="M8" s="7"/>
      <c r="N8" s="7"/>
      <c r="O8" s="8">
        <v>0</v>
      </c>
    </row>
    <row r="9" spans="1:21">
      <c r="A9" s="4">
        <v>46146</v>
      </c>
      <c r="B9" s="7"/>
      <c r="C9" s="7"/>
      <c r="D9" s="7"/>
      <c r="E9" s="7"/>
      <c r="F9" s="7"/>
      <c r="G9" s="5"/>
      <c r="H9" s="5"/>
      <c r="I9" s="5"/>
      <c r="J9" s="5"/>
      <c r="K9" s="5"/>
      <c r="L9" s="5"/>
      <c r="M9" s="7"/>
      <c r="N9" s="7"/>
      <c r="O9" s="8">
        <v>0</v>
      </c>
    </row>
    <row r="10" spans="1:21">
      <c r="A10" s="4">
        <v>46147</v>
      </c>
      <c r="B10" s="7"/>
      <c r="C10" s="7"/>
      <c r="D10" s="7"/>
      <c r="E10" s="7"/>
      <c r="F10" s="7"/>
      <c r="G10" s="5"/>
      <c r="H10" s="5"/>
      <c r="I10" s="5"/>
      <c r="J10" s="5"/>
      <c r="K10" s="5"/>
      <c r="L10" s="5"/>
      <c r="M10" s="7"/>
      <c r="N10" s="7"/>
      <c r="O10" s="8">
        <v>0</v>
      </c>
    </row>
    <row r="11" spans="1:21">
      <c r="A11" s="4">
        <v>46148</v>
      </c>
      <c r="B11" s="7"/>
      <c r="C11" s="7"/>
      <c r="D11" s="7"/>
      <c r="E11" s="7"/>
      <c r="F11" s="7"/>
      <c r="G11" s="5"/>
      <c r="H11" s="5"/>
      <c r="I11" s="5"/>
      <c r="J11" s="5"/>
      <c r="K11" s="5"/>
      <c r="L11" s="5"/>
      <c r="M11" s="7"/>
      <c r="N11" s="7"/>
      <c r="O11" s="8">
        <v>0</v>
      </c>
    </row>
    <row r="12" spans="1:21">
      <c r="A12" s="4">
        <v>46149</v>
      </c>
      <c r="B12" s="7"/>
      <c r="C12" s="7"/>
      <c r="D12" s="7"/>
      <c r="E12" s="7"/>
      <c r="F12" s="7"/>
      <c r="G12" s="5"/>
      <c r="H12" s="5"/>
      <c r="I12" s="5"/>
      <c r="J12" s="5"/>
      <c r="K12" s="5"/>
      <c r="L12" s="5"/>
      <c r="M12" s="7"/>
      <c r="N12" s="7"/>
      <c r="O12" s="8">
        <v>0</v>
      </c>
    </row>
    <row r="13" spans="1:21">
      <c r="A13" s="4">
        <v>46150</v>
      </c>
      <c r="B13" s="7"/>
      <c r="C13" s="7"/>
      <c r="D13" s="7"/>
      <c r="E13" s="7"/>
      <c r="F13" s="7"/>
      <c r="G13" s="5"/>
      <c r="H13" s="5"/>
      <c r="I13" s="5"/>
      <c r="J13" s="5"/>
      <c r="K13" s="5"/>
      <c r="L13" s="5"/>
      <c r="M13" s="7"/>
      <c r="N13" s="7"/>
      <c r="O13" s="8">
        <v>0</v>
      </c>
    </row>
    <row r="14" spans="1:21">
      <c r="A14" s="4">
        <v>46151</v>
      </c>
      <c r="B14" s="7">
        <v>314.52999999999997</v>
      </c>
      <c r="C14" s="7">
        <v>121.76</v>
      </c>
      <c r="D14" s="7">
        <v>398.4</v>
      </c>
      <c r="E14" s="7">
        <v>0</v>
      </c>
      <c r="F14" s="7">
        <v>0</v>
      </c>
      <c r="G14" s="5">
        <v>224.94</v>
      </c>
      <c r="H14" s="5">
        <v>20.73</v>
      </c>
      <c r="I14" s="5">
        <v>0</v>
      </c>
      <c r="J14" s="5">
        <v>0</v>
      </c>
      <c r="K14" s="5">
        <v>190</v>
      </c>
      <c r="L14" s="5">
        <v>16</v>
      </c>
      <c r="M14" s="7">
        <v>0</v>
      </c>
      <c r="N14" s="7">
        <v>0</v>
      </c>
      <c r="O14" s="8">
        <v>1286.3599999999999</v>
      </c>
    </row>
    <row r="15" spans="1:21">
      <c r="A15" s="4">
        <v>46152</v>
      </c>
      <c r="B15" s="7">
        <v>279.81</v>
      </c>
      <c r="C15" s="7">
        <v>243.8</v>
      </c>
      <c r="D15" s="7">
        <v>1628.52</v>
      </c>
      <c r="E15" s="7">
        <v>0</v>
      </c>
      <c r="F15" s="7">
        <v>0</v>
      </c>
      <c r="G15" s="5">
        <v>0</v>
      </c>
      <c r="H15" s="5">
        <v>0</v>
      </c>
      <c r="I15" s="5">
        <v>1244.5</v>
      </c>
      <c r="J15" s="5">
        <v>0</v>
      </c>
      <c r="K15" s="5">
        <v>0</v>
      </c>
      <c r="L15" s="5">
        <v>179.59</v>
      </c>
      <c r="M15" s="7">
        <v>218.64</v>
      </c>
      <c r="N15" s="7">
        <v>0</v>
      </c>
      <c r="O15" s="8">
        <v>3794.86</v>
      </c>
    </row>
    <row r="16" spans="1:21">
      <c r="A16" s="4">
        <v>46153</v>
      </c>
      <c r="B16" s="7">
        <v>507.08</v>
      </c>
      <c r="C16" s="7">
        <v>148.41999999999999</v>
      </c>
      <c r="D16" s="7">
        <v>1861.84</v>
      </c>
      <c r="E16" s="7">
        <v>0</v>
      </c>
      <c r="F16" s="7">
        <v>0</v>
      </c>
      <c r="G16" s="5">
        <v>137.57</v>
      </c>
      <c r="H16" s="5">
        <v>219.6</v>
      </c>
      <c r="I16" s="5">
        <v>0</v>
      </c>
      <c r="J16" s="5">
        <v>7.99</v>
      </c>
      <c r="K16" s="5">
        <v>0</v>
      </c>
      <c r="L16" s="5">
        <v>627.35</v>
      </c>
      <c r="M16" s="7">
        <v>327.96</v>
      </c>
      <c r="N16" s="7">
        <v>0</v>
      </c>
      <c r="O16" s="8">
        <v>3837.81</v>
      </c>
    </row>
    <row r="17" spans="1:15">
      <c r="A17" s="4">
        <v>46154</v>
      </c>
      <c r="B17" s="7">
        <v>327.42</v>
      </c>
      <c r="C17" s="7">
        <v>212.52</v>
      </c>
      <c r="D17" s="7">
        <v>2973.52</v>
      </c>
      <c r="E17" s="7">
        <v>0</v>
      </c>
      <c r="F17" s="7">
        <v>0</v>
      </c>
      <c r="G17" s="5">
        <v>94.23</v>
      </c>
      <c r="H17" s="5">
        <v>32.69</v>
      </c>
      <c r="I17" s="5">
        <v>0</v>
      </c>
      <c r="J17" s="5">
        <v>0</v>
      </c>
      <c r="K17" s="5">
        <v>70</v>
      </c>
      <c r="L17" s="5">
        <v>178.91</v>
      </c>
      <c r="M17" s="7">
        <v>437.28</v>
      </c>
      <c r="N17" s="7">
        <v>0</v>
      </c>
      <c r="O17" s="8">
        <v>4326.57</v>
      </c>
    </row>
    <row r="18" spans="1:15">
      <c r="A18" s="4">
        <v>46155</v>
      </c>
      <c r="B18" s="7">
        <v>317.7</v>
      </c>
      <c r="C18" s="7">
        <v>215.76</v>
      </c>
      <c r="D18" s="7">
        <v>1702.42</v>
      </c>
      <c r="E18" s="7">
        <v>0</v>
      </c>
      <c r="F18" s="7">
        <v>0</v>
      </c>
      <c r="G18" s="5">
        <v>116.25</v>
      </c>
      <c r="H18" s="5">
        <v>115.43</v>
      </c>
      <c r="I18" s="5">
        <v>0</v>
      </c>
      <c r="J18" s="5">
        <v>0</v>
      </c>
      <c r="K18" s="5">
        <v>239</v>
      </c>
      <c r="L18" s="5">
        <v>79.94</v>
      </c>
      <c r="M18" s="7">
        <v>109.32</v>
      </c>
      <c r="N18" s="7">
        <v>0</v>
      </c>
      <c r="O18" s="8">
        <v>2895.82</v>
      </c>
    </row>
    <row r="19" spans="1:15">
      <c r="A19" s="4">
        <v>46156</v>
      </c>
      <c r="B19" s="7">
        <v>189.59</v>
      </c>
      <c r="C19" s="7">
        <v>419.33</v>
      </c>
      <c r="D19" s="7">
        <v>1494</v>
      </c>
      <c r="E19" s="7">
        <v>20</v>
      </c>
      <c r="F19" s="7">
        <v>0</v>
      </c>
      <c r="G19" s="5">
        <v>49.28</v>
      </c>
      <c r="H19" s="5">
        <v>95.43</v>
      </c>
      <c r="I19" s="5">
        <v>0</v>
      </c>
      <c r="J19" s="5">
        <v>0</v>
      </c>
      <c r="K19" s="5">
        <v>220</v>
      </c>
      <c r="L19" s="5">
        <v>231.43</v>
      </c>
      <c r="M19" s="7">
        <v>874.56</v>
      </c>
      <c r="N19" s="7">
        <v>0</v>
      </c>
      <c r="O19" s="8">
        <v>3593.62</v>
      </c>
    </row>
    <row r="20" spans="1:15">
      <c r="A20" s="4">
        <v>46157</v>
      </c>
      <c r="B20" s="7">
        <v>474.69</v>
      </c>
      <c r="C20" s="7">
        <v>1111.45</v>
      </c>
      <c r="D20" s="7">
        <v>996</v>
      </c>
      <c r="E20" s="7">
        <v>0</v>
      </c>
      <c r="F20" s="7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450</v>
      </c>
      <c r="M20" s="7">
        <v>0</v>
      </c>
      <c r="N20" s="7">
        <v>0</v>
      </c>
      <c r="O20" s="8">
        <v>3032.1400000000003</v>
      </c>
    </row>
    <row r="21" spans="1:15">
      <c r="A21" s="4">
        <v>46158</v>
      </c>
      <c r="B21" s="7">
        <v>117.98</v>
      </c>
      <c r="C21" s="7">
        <v>142.54</v>
      </c>
      <c r="D21" s="7">
        <v>498</v>
      </c>
      <c r="E21" s="7">
        <v>0</v>
      </c>
      <c r="F21" s="7">
        <v>0</v>
      </c>
      <c r="G21" s="5">
        <v>75.89</v>
      </c>
      <c r="H21" s="5">
        <v>455.01</v>
      </c>
      <c r="I21" s="5">
        <v>0</v>
      </c>
      <c r="J21" s="5">
        <v>0</v>
      </c>
      <c r="K21" s="5">
        <v>90.9</v>
      </c>
      <c r="L21" s="5">
        <v>96.42</v>
      </c>
      <c r="M21" s="7">
        <v>437.28</v>
      </c>
      <c r="N21" s="7">
        <v>0</v>
      </c>
      <c r="O21" s="8">
        <f>SUM(B21:N21)</f>
        <v>1914.0200000000002</v>
      </c>
    </row>
    <row r="22" spans="1:15">
      <c r="A22" s="4">
        <v>46159</v>
      </c>
      <c r="B22" s="7">
        <v>256.77</v>
      </c>
      <c r="C22" s="7">
        <v>906.93</v>
      </c>
      <c r="D22" s="7">
        <v>1095.5999999999999</v>
      </c>
      <c r="E22" s="7">
        <v>0</v>
      </c>
      <c r="F22" s="7">
        <v>0</v>
      </c>
      <c r="G22" s="5">
        <v>0</v>
      </c>
      <c r="H22" s="5">
        <v>0</v>
      </c>
      <c r="I22" s="5">
        <v>0</v>
      </c>
      <c r="J22" s="5">
        <v>0</v>
      </c>
      <c r="K22" s="5">
        <v>181.5</v>
      </c>
      <c r="L22" s="5">
        <v>123.9</v>
      </c>
      <c r="M22" s="7">
        <v>109.32</v>
      </c>
      <c r="N22" s="7">
        <v>0</v>
      </c>
      <c r="O22" s="8">
        <f>SUM(B22:N22)</f>
        <v>2674.02</v>
      </c>
    </row>
    <row r="23" spans="1:15">
      <c r="A23" s="4">
        <v>46160</v>
      </c>
      <c r="B23" s="7">
        <v>225.6</v>
      </c>
      <c r="C23" s="7">
        <v>665.72</v>
      </c>
      <c r="D23" s="7">
        <v>1195.2</v>
      </c>
      <c r="E23" s="7">
        <v>10</v>
      </c>
      <c r="F23" s="7">
        <v>0</v>
      </c>
      <c r="G23" s="5">
        <v>194.84</v>
      </c>
      <c r="H23" s="5">
        <v>207.97</v>
      </c>
      <c r="I23" s="5">
        <v>0</v>
      </c>
      <c r="J23" s="5">
        <v>793</v>
      </c>
      <c r="K23" s="5">
        <v>815.75</v>
      </c>
      <c r="L23" s="5">
        <v>63</v>
      </c>
      <c r="M23" s="7">
        <v>109.32</v>
      </c>
      <c r="N23" s="7">
        <v>0</v>
      </c>
      <c r="O23" s="8">
        <f>SUM(B23:N23)</f>
        <v>4280.3999999999996</v>
      </c>
    </row>
    <row r="24" spans="1:15">
      <c r="A24" s="4">
        <v>46161</v>
      </c>
      <c r="B24" s="7">
        <v>217.94</v>
      </c>
      <c r="C24" s="7">
        <v>534.86</v>
      </c>
      <c r="D24" s="7">
        <v>1095.5999999999999</v>
      </c>
      <c r="E24" s="7">
        <v>0</v>
      </c>
      <c r="F24" s="7">
        <v>0</v>
      </c>
      <c r="G24" s="5">
        <v>147.97</v>
      </c>
      <c r="H24" s="5">
        <v>239.98</v>
      </c>
      <c r="I24" s="5">
        <v>0</v>
      </c>
      <c r="J24" s="5">
        <v>0</v>
      </c>
      <c r="K24" s="5">
        <v>0</v>
      </c>
      <c r="L24" s="5">
        <v>0</v>
      </c>
      <c r="M24" s="7">
        <v>109.32</v>
      </c>
      <c r="N24" s="7">
        <v>0</v>
      </c>
      <c r="O24" s="8">
        <f t="shared" ref="O24:O37" si="0">SUM(B24:N24)</f>
        <v>2345.67</v>
      </c>
    </row>
    <row r="25" spans="1:15">
      <c r="A25" s="4">
        <v>46162</v>
      </c>
      <c r="B25" s="7">
        <v>205.22</v>
      </c>
      <c r="C25" s="7">
        <v>751.8</v>
      </c>
      <c r="D25" s="7">
        <v>1294.8</v>
      </c>
      <c r="E25" s="7">
        <v>0</v>
      </c>
      <c r="F25" s="7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44.97</v>
      </c>
      <c r="M25" s="7">
        <v>109.32</v>
      </c>
      <c r="N25" s="7">
        <v>0</v>
      </c>
      <c r="O25" s="8">
        <f t="shared" si="0"/>
        <v>2406.1099999999997</v>
      </c>
    </row>
    <row r="26" spans="1:15">
      <c r="A26" s="4">
        <v>46163</v>
      </c>
      <c r="B26" s="7">
        <v>86.2</v>
      </c>
      <c r="C26" s="7">
        <v>385.41</v>
      </c>
      <c r="D26" s="7">
        <v>1095.5999999999999</v>
      </c>
      <c r="E26" s="7">
        <v>0</v>
      </c>
      <c r="F26" s="7">
        <v>0</v>
      </c>
      <c r="G26" s="5">
        <v>30.59</v>
      </c>
      <c r="H26" s="5">
        <v>331.94</v>
      </c>
      <c r="I26" s="5">
        <v>0</v>
      </c>
      <c r="J26" s="5">
        <v>0</v>
      </c>
      <c r="K26" s="5">
        <v>30</v>
      </c>
      <c r="L26" s="5">
        <v>169.87</v>
      </c>
      <c r="M26" s="7">
        <v>109.32</v>
      </c>
      <c r="N26" s="7">
        <v>0</v>
      </c>
      <c r="O26" s="8">
        <f t="shared" si="0"/>
        <v>2238.9300000000003</v>
      </c>
    </row>
    <row r="27" spans="1:15">
      <c r="A27" s="4">
        <v>46164</v>
      </c>
      <c r="B27" s="7">
        <v>51</v>
      </c>
      <c r="C27" s="7">
        <v>90.33</v>
      </c>
      <c r="D27" s="7">
        <v>896.4</v>
      </c>
      <c r="E27" s="7">
        <v>0</v>
      </c>
      <c r="F27" s="7">
        <v>0</v>
      </c>
      <c r="G27" s="5">
        <v>360.65</v>
      </c>
      <c r="H27" s="5">
        <v>729.84</v>
      </c>
      <c r="I27" s="5">
        <v>0</v>
      </c>
      <c r="J27" s="5">
        <v>0</v>
      </c>
      <c r="K27" s="5">
        <v>112.5</v>
      </c>
      <c r="L27" s="5">
        <v>115.95</v>
      </c>
      <c r="M27" s="7">
        <v>0</v>
      </c>
      <c r="N27" s="7">
        <v>0</v>
      </c>
      <c r="O27" s="8">
        <f t="shared" si="0"/>
        <v>2356.67</v>
      </c>
    </row>
    <row r="28" spans="1:15">
      <c r="A28" s="4">
        <v>46165</v>
      </c>
      <c r="B28" s="7">
        <v>97.36</v>
      </c>
      <c r="C28" s="7">
        <v>410.16</v>
      </c>
      <c r="D28" s="7">
        <v>298.8</v>
      </c>
      <c r="E28" s="7">
        <v>0</v>
      </c>
      <c r="F28" s="7">
        <v>0</v>
      </c>
      <c r="G28" s="5">
        <v>269.19</v>
      </c>
      <c r="H28" s="5">
        <v>880.6</v>
      </c>
      <c r="I28" s="5">
        <v>0</v>
      </c>
      <c r="J28" s="5">
        <v>0</v>
      </c>
      <c r="K28" s="5">
        <v>345.5</v>
      </c>
      <c r="L28" s="5">
        <v>214.97</v>
      </c>
      <c r="M28" s="7">
        <v>218.64</v>
      </c>
      <c r="N28" s="7">
        <v>0</v>
      </c>
      <c r="O28" s="8">
        <f t="shared" si="0"/>
        <v>2735.22</v>
      </c>
    </row>
    <row r="29" spans="1:15">
      <c r="A29" s="4">
        <v>46166</v>
      </c>
      <c r="B29" s="7"/>
      <c r="C29" s="7"/>
      <c r="D29" s="7"/>
      <c r="E29" s="7"/>
      <c r="F29" s="7"/>
      <c r="G29" s="5"/>
      <c r="H29" s="5"/>
      <c r="I29" s="5"/>
      <c r="J29" s="5"/>
      <c r="K29" s="5"/>
      <c r="L29" s="5"/>
      <c r="M29" s="7"/>
      <c r="N29" s="7"/>
      <c r="O29" s="8">
        <f t="shared" si="0"/>
        <v>0</v>
      </c>
    </row>
    <row r="30" spans="1:15">
      <c r="A30" s="4">
        <v>46167</v>
      </c>
      <c r="B30" s="7"/>
      <c r="C30" s="7"/>
      <c r="D30" s="7"/>
      <c r="E30" s="7"/>
      <c r="F30" s="7"/>
      <c r="G30" s="5"/>
      <c r="H30" s="5"/>
      <c r="I30" s="5"/>
      <c r="J30" s="5"/>
      <c r="K30" s="5"/>
      <c r="L30" s="5"/>
      <c r="M30" s="7"/>
      <c r="N30" s="7"/>
      <c r="O30" s="8">
        <f t="shared" si="0"/>
        <v>0</v>
      </c>
    </row>
    <row r="31" spans="1:15">
      <c r="A31" s="4">
        <v>46168</v>
      </c>
      <c r="B31" s="7"/>
      <c r="C31" s="7"/>
      <c r="D31" s="7"/>
      <c r="E31" s="7"/>
      <c r="F31" s="7"/>
      <c r="G31" s="5"/>
      <c r="H31" s="5"/>
      <c r="I31" s="5"/>
      <c r="J31" s="5"/>
      <c r="K31" s="5"/>
      <c r="L31" s="5"/>
      <c r="M31" s="7"/>
      <c r="N31" s="7"/>
      <c r="O31" s="8">
        <f t="shared" si="0"/>
        <v>0</v>
      </c>
    </row>
    <row r="32" spans="1:15">
      <c r="A32" s="4">
        <v>46169</v>
      </c>
      <c r="B32" s="7"/>
      <c r="C32" s="7"/>
      <c r="D32" s="7"/>
      <c r="E32" s="7"/>
      <c r="F32" s="7"/>
      <c r="G32" s="5"/>
      <c r="H32" s="5"/>
      <c r="I32" s="5"/>
      <c r="J32" s="5"/>
      <c r="K32" s="5"/>
      <c r="L32" s="5"/>
      <c r="M32" s="7"/>
      <c r="N32" s="7"/>
      <c r="O32" s="8">
        <f t="shared" si="0"/>
        <v>0</v>
      </c>
    </row>
    <row r="33" spans="1:15">
      <c r="A33" s="4">
        <v>46170</v>
      </c>
      <c r="B33" s="7"/>
      <c r="C33" s="7"/>
      <c r="D33" s="7"/>
      <c r="E33" s="7"/>
      <c r="F33" s="7"/>
      <c r="G33" s="5"/>
      <c r="H33" s="5"/>
      <c r="I33" s="5"/>
      <c r="J33" s="5"/>
      <c r="K33" s="5"/>
      <c r="L33" s="5"/>
      <c r="M33" s="7"/>
      <c r="N33" s="7"/>
      <c r="O33" s="8">
        <f t="shared" si="0"/>
        <v>0</v>
      </c>
    </row>
    <row r="34" spans="1:15">
      <c r="A34" s="4">
        <v>46171</v>
      </c>
      <c r="B34" s="7"/>
      <c r="C34" s="7"/>
      <c r="D34" s="7"/>
      <c r="E34" s="7"/>
      <c r="F34" s="7"/>
      <c r="G34" s="5"/>
      <c r="H34" s="5"/>
      <c r="I34" s="5"/>
      <c r="J34" s="5"/>
      <c r="K34" s="5"/>
      <c r="L34" s="5"/>
      <c r="M34" s="7"/>
      <c r="N34" s="7"/>
      <c r="O34" s="8">
        <f t="shared" si="0"/>
        <v>0</v>
      </c>
    </row>
    <row r="35" spans="1:15">
      <c r="A35" s="4">
        <v>46172</v>
      </c>
      <c r="B35" s="7"/>
      <c r="C35" s="7"/>
      <c r="D35" s="7"/>
      <c r="E35" s="7"/>
      <c r="F35" s="7"/>
      <c r="G35" s="5"/>
      <c r="H35" s="5"/>
      <c r="I35" s="5"/>
      <c r="J35" s="5"/>
      <c r="K35" s="5"/>
      <c r="L35" s="5"/>
      <c r="M35" s="7"/>
      <c r="N35" s="7"/>
      <c r="O35" s="8">
        <f t="shared" si="0"/>
        <v>0</v>
      </c>
    </row>
    <row r="36" spans="1:15">
      <c r="A36" s="4">
        <v>46173</v>
      </c>
      <c r="B36" s="7"/>
      <c r="C36" s="7"/>
      <c r="D36" s="7"/>
      <c r="E36" s="7"/>
      <c r="F36" s="7"/>
      <c r="G36" s="5"/>
      <c r="H36" s="5"/>
      <c r="I36" s="5"/>
      <c r="J36" s="5"/>
      <c r="K36" s="5"/>
      <c r="L36" s="5"/>
      <c r="M36" s="7"/>
      <c r="N36" s="7"/>
      <c r="O36" s="8">
        <f t="shared" si="0"/>
        <v>0</v>
      </c>
    </row>
    <row r="37" spans="1:15">
      <c r="A37" s="3" t="s">
        <v>1</v>
      </c>
      <c r="B37" s="6">
        <f t="shared" ref="B37:N37" si="1">SUM(B14:B28)</f>
        <v>3668.8899999999994</v>
      </c>
      <c r="C37" s="6">
        <f t="shared" si="1"/>
        <v>6360.7899999999991</v>
      </c>
      <c r="D37" s="6">
        <f t="shared" si="1"/>
        <v>18524.7</v>
      </c>
      <c r="E37" s="6">
        <f t="shared" si="1"/>
        <v>30</v>
      </c>
      <c r="F37" s="6">
        <f t="shared" si="1"/>
        <v>0</v>
      </c>
      <c r="G37" s="6">
        <f t="shared" si="1"/>
        <v>1701.4</v>
      </c>
      <c r="H37" s="6">
        <f t="shared" si="1"/>
        <v>3329.22</v>
      </c>
      <c r="I37" s="6">
        <f t="shared" si="1"/>
        <v>1244.5</v>
      </c>
      <c r="J37" s="6">
        <f t="shared" si="1"/>
        <v>800.99</v>
      </c>
      <c r="K37" s="6">
        <f t="shared" si="1"/>
        <v>2295.15</v>
      </c>
      <c r="L37" s="6">
        <f t="shared" si="1"/>
        <v>2592.2999999999997</v>
      </c>
      <c r="M37" s="6">
        <f t="shared" si="1"/>
        <v>3170.2800000000007</v>
      </c>
      <c r="N37" s="6">
        <f t="shared" si="1"/>
        <v>0</v>
      </c>
      <c r="O37" s="8">
        <f t="shared" si="0"/>
        <v>43718.22</v>
      </c>
    </row>
  </sheetData>
  <mergeCells count="16">
    <mergeCell ref="A1:O1"/>
    <mergeCell ref="B2:F3"/>
    <mergeCell ref="M2:N3"/>
    <mergeCell ref="M4:M5"/>
    <mergeCell ref="N4:N5"/>
    <mergeCell ref="A4:A5"/>
    <mergeCell ref="G4:G5"/>
    <mergeCell ref="B4:B5"/>
    <mergeCell ref="O4:O5"/>
    <mergeCell ref="I4:I5"/>
    <mergeCell ref="D4:D5"/>
    <mergeCell ref="C4:C5"/>
    <mergeCell ref="E4:E5"/>
    <mergeCell ref="J4:J5"/>
    <mergeCell ref="H4:H5"/>
    <mergeCell ref="G2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37"/>
  <sheetViews>
    <sheetView topLeftCell="A10" workbookViewId="0">
      <selection activeCell="J31" sqref="J31"/>
    </sheetView>
  </sheetViews>
  <sheetFormatPr defaultRowHeight="15"/>
  <cols>
    <col min="1" max="1" width="10.140625" bestFit="1" customWidth="1"/>
    <col min="2" max="2" width="11" bestFit="1" customWidth="1"/>
    <col min="4" max="4" width="7.85546875" customWidth="1"/>
    <col min="6" max="6" width="10.85546875" customWidth="1"/>
    <col min="8" max="8" width="8" customWidth="1"/>
    <col min="10" max="10" width="11" bestFit="1" customWidth="1"/>
    <col min="14" max="14" width="9.85546875" bestFit="1" customWidth="1"/>
    <col min="15" max="15" width="10.5703125" bestFit="1" customWidth="1"/>
    <col min="16" max="16" width="7.7109375" customWidth="1"/>
    <col min="17" max="17" width="7.5703125" customWidth="1"/>
    <col min="18" max="18" width="11" bestFit="1" customWidth="1"/>
  </cols>
  <sheetData>
    <row r="1" spans="1:20">
      <c r="A1" s="133" t="s">
        <v>31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</row>
    <row r="2" spans="1:20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</row>
    <row r="3" spans="1:20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</row>
    <row r="4" spans="1:20" ht="21">
      <c r="A4" s="18"/>
      <c r="B4" s="139" t="s">
        <v>32</v>
      </c>
      <c r="C4" s="139"/>
      <c r="D4" s="139"/>
      <c r="E4" s="139"/>
      <c r="F4" s="140" t="s">
        <v>33</v>
      </c>
      <c r="G4" s="140"/>
      <c r="H4" s="140"/>
      <c r="I4" s="140"/>
      <c r="J4" s="139" t="s">
        <v>34</v>
      </c>
      <c r="K4" s="139"/>
      <c r="L4" s="139"/>
      <c r="M4" s="139"/>
      <c r="N4" s="141" t="s">
        <v>35</v>
      </c>
      <c r="O4" s="142"/>
      <c r="P4" s="142"/>
      <c r="Q4" s="143"/>
      <c r="R4" s="139" t="s">
        <v>36</v>
      </c>
      <c r="S4" s="139"/>
      <c r="T4" s="18" t="s">
        <v>1</v>
      </c>
    </row>
    <row r="5" spans="1:20" ht="18.75">
      <c r="A5" s="19" t="s">
        <v>37</v>
      </c>
      <c r="B5" s="21" t="s">
        <v>38</v>
      </c>
      <c r="C5" s="21" t="s">
        <v>39</v>
      </c>
      <c r="D5" s="21" t="s">
        <v>40</v>
      </c>
      <c r="E5" s="21" t="s">
        <v>41</v>
      </c>
      <c r="F5" s="20" t="s">
        <v>38</v>
      </c>
      <c r="G5" s="20" t="s">
        <v>42</v>
      </c>
      <c r="H5" s="20" t="s">
        <v>40</v>
      </c>
      <c r="I5" s="20" t="s">
        <v>41</v>
      </c>
      <c r="J5" s="21" t="s">
        <v>38</v>
      </c>
      <c r="K5" s="21" t="s">
        <v>39</v>
      </c>
      <c r="L5" s="21" t="s">
        <v>40</v>
      </c>
      <c r="M5" s="21" t="s">
        <v>41</v>
      </c>
      <c r="N5" s="20" t="s">
        <v>43</v>
      </c>
      <c r="O5" s="20" t="s">
        <v>42</v>
      </c>
      <c r="P5" s="20" t="s">
        <v>40</v>
      </c>
      <c r="Q5" s="20" t="s">
        <v>41</v>
      </c>
      <c r="R5" s="21" t="s">
        <v>38</v>
      </c>
      <c r="S5" s="21" t="s">
        <v>42</v>
      </c>
      <c r="T5" s="25"/>
    </row>
    <row r="6" spans="1:20">
      <c r="A6" s="23">
        <v>46143</v>
      </c>
      <c r="B6" s="26">
        <v>0</v>
      </c>
      <c r="C6" s="26">
        <v>0</v>
      </c>
      <c r="D6" s="26">
        <v>0</v>
      </c>
      <c r="E6" s="26">
        <v>0</v>
      </c>
      <c r="F6" s="27">
        <v>0</v>
      </c>
      <c r="G6" s="27">
        <v>0</v>
      </c>
      <c r="H6" s="27">
        <v>0</v>
      </c>
      <c r="I6" s="27">
        <v>0</v>
      </c>
      <c r="J6" s="26">
        <v>0</v>
      </c>
      <c r="K6" s="26">
        <v>0</v>
      </c>
      <c r="L6" s="26">
        <v>0</v>
      </c>
      <c r="M6" s="26">
        <v>0</v>
      </c>
      <c r="N6" s="27">
        <v>0</v>
      </c>
      <c r="O6" s="27">
        <v>0</v>
      </c>
      <c r="P6" s="27">
        <v>0</v>
      </c>
      <c r="Q6" s="27">
        <v>0</v>
      </c>
      <c r="R6" s="26">
        <v>0</v>
      </c>
      <c r="S6" s="26">
        <v>0</v>
      </c>
      <c r="T6" s="28">
        <f>SUM(B6:S6)</f>
        <v>0</v>
      </c>
    </row>
    <row r="7" spans="1:20">
      <c r="A7" s="23">
        <v>46144</v>
      </c>
      <c r="B7" s="26"/>
      <c r="C7" s="26"/>
      <c r="D7" s="26"/>
      <c r="E7" s="26"/>
      <c r="F7" s="27"/>
      <c r="G7" s="27"/>
      <c r="H7" s="27"/>
      <c r="I7" s="27"/>
      <c r="J7" s="26"/>
      <c r="K7" s="26"/>
      <c r="L7" s="26"/>
      <c r="M7" s="26"/>
      <c r="N7" s="27"/>
      <c r="O7" s="27"/>
      <c r="P7" s="27"/>
      <c r="Q7" s="27"/>
      <c r="R7" s="26"/>
      <c r="S7" s="26"/>
      <c r="T7" s="28">
        <f t="shared" ref="T7:T37" si="0">SUM(B7:S7)</f>
        <v>0</v>
      </c>
    </row>
    <row r="8" spans="1:20">
      <c r="A8" s="23">
        <v>46145</v>
      </c>
      <c r="B8" s="26"/>
      <c r="C8" s="26"/>
      <c r="D8" s="26"/>
      <c r="E8" s="26"/>
      <c r="F8" s="27"/>
      <c r="G8" s="27"/>
      <c r="H8" s="27"/>
      <c r="I8" s="27"/>
      <c r="J8" s="26"/>
      <c r="K8" s="26"/>
      <c r="L8" s="26"/>
      <c r="M8" s="26"/>
      <c r="N8" s="27"/>
      <c r="O8" s="27"/>
      <c r="P8" s="27"/>
      <c r="Q8" s="27"/>
      <c r="R8" s="26"/>
      <c r="S8" s="26"/>
      <c r="T8" s="28">
        <f t="shared" si="0"/>
        <v>0</v>
      </c>
    </row>
    <row r="9" spans="1:20">
      <c r="A9" s="23">
        <v>46146</v>
      </c>
      <c r="B9" s="26"/>
      <c r="C9" s="26"/>
      <c r="D9" s="26"/>
      <c r="E9" s="26"/>
      <c r="F9" s="27"/>
      <c r="G9" s="27"/>
      <c r="H9" s="27"/>
      <c r="I9" s="27"/>
      <c r="J9" s="26"/>
      <c r="K9" s="26"/>
      <c r="L9" s="26"/>
      <c r="M9" s="26"/>
      <c r="N9" s="27"/>
      <c r="O9" s="27"/>
      <c r="P9" s="27"/>
      <c r="Q9" s="27"/>
      <c r="R9" s="26"/>
      <c r="S9" s="26"/>
      <c r="T9" s="28">
        <f t="shared" si="0"/>
        <v>0</v>
      </c>
    </row>
    <row r="10" spans="1:20">
      <c r="A10" s="23">
        <v>46147</v>
      </c>
      <c r="B10" s="26"/>
      <c r="C10" s="26"/>
      <c r="D10" s="26"/>
      <c r="E10" s="26"/>
      <c r="F10" s="27"/>
      <c r="G10" s="27"/>
      <c r="H10" s="27"/>
      <c r="I10" s="27"/>
      <c r="J10" s="26"/>
      <c r="K10" s="26"/>
      <c r="L10" s="26"/>
      <c r="M10" s="26"/>
      <c r="N10" s="27"/>
      <c r="O10" s="27"/>
      <c r="P10" s="27"/>
      <c r="Q10" s="27"/>
      <c r="R10" s="26"/>
      <c r="S10" s="26"/>
      <c r="T10" s="28">
        <f t="shared" si="0"/>
        <v>0</v>
      </c>
    </row>
    <row r="11" spans="1:20">
      <c r="A11" s="23">
        <v>46148</v>
      </c>
      <c r="B11" s="26"/>
      <c r="C11" s="26"/>
      <c r="D11" s="26"/>
      <c r="E11" s="26"/>
      <c r="F11" s="27"/>
      <c r="G11" s="27"/>
      <c r="H11" s="27"/>
      <c r="I11" s="27"/>
      <c r="J11" s="26"/>
      <c r="K11" s="26"/>
      <c r="L11" s="26"/>
      <c r="M11" s="26"/>
      <c r="N11" s="27"/>
      <c r="O11" s="27"/>
      <c r="P11" s="27"/>
      <c r="Q11" s="27"/>
      <c r="R11" s="26"/>
      <c r="S11" s="26"/>
      <c r="T11" s="28">
        <f t="shared" si="0"/>
        <v>0</v>
      </c>
    </row>
    <row r="12" spans="1:20">
      <c r="A12" s="23">
        <v>46149</v>
      </c>
      <c r="B12" s="26"/>
      <c r="C12" s="26"/>
      <c r="D12" s="26"/>
      <c r="E12" s="26"/>
      <c r="F12" s="27"/>
      <c r="G12" s="27"/>
      <c r="H12" s="27"/>
      <c r="I12" s="27"/>
      <c r="J12" s="26"/>
      <c r="K12" s="26"/>
      <c r="L12" s="26"/>
      <c r="M12" s="26"/>
      <c r="N12" s="27"/>
      <c r="O12" s="27"/>
      <c r="P12" s="27"/>
      <c r="Q12" s="27"/>
      <c r="R12" s="26"/>
      <c r="S12" s="26"/>
      <c r="T12" s="28">
        <f t="shared" si="0"/>
        <v>0</v>
      </c>
    </row>
    <row r="13" spans="1:20">
      <c r="A13" s="23">
        <v>46150</v>
      </c>
      <c r="B13" s="22"/>
      <c r="C13" s="22"/>
      <c r="D13" s="22"/>
      <c r="E13" s="22"/>
      <c r="F13" s="17"/>
      <c r="G13" s="17"/>
      <c r="H13" s="17"/>
      <c r="I13" s="17"/>
      <c r="J13" s="22"/>
      <c r="K13" s="22"/>
      <c r="L13" s="22"/>
      <c r="M13" s="22"/>
      <c r="N13" s="17"/>
      <c r="O13" s="17"/>
      <c r="P13" s="17"/>
      <c r="Q13" s="17"/>
      <c r="R13" s="22"/>
      <c r="S13" s="22"/>
      <c r="T13" s="28">
        <f t="shared" si="0"/>
        <v>0</v>
      </c>
    </row>
    <row r="14" spans="1:20">
      <c r="A14" s="23">
        <v>46151</v>
      </c>
      <c r="B14" s="22">
        <v>85.23</v>
      </c>
      <c r="C14" s="22">
        <v>7</v>
      </c>
      <c r="D14" s="22">
        <v>0</v>
      </c>
      <c r="E14" s="22">
        <v>0</v>
      </c>
      <c r="F14" s="17">
        <v>120</v>
      </c>
      <c r="G14" s="17">
        <v>9</v>
      </c>
      <c r="H14" s="17">
        <v>130</v>
      </c>
      <c r="I14" s="17">
        <v>0</v>
      </c>
      <c r="J14" s="22">
        <v>15.16</v>
      </c>
      <c r="K14" s="22">
        <v>4</v>
      </c>
      <c r="L14" s="22">
        <v>0</v>
      </c>
      <c r="M14" s="22">
        <v>0</v>
      </c>
      <c r="N14" s="17">
        <v>0</v>
      </c>
      <c r="O14" s="17">
        <v>0</v>
      </c>
      <c r="P14" s="17">
        <v>0</v>
      </c>
      <c r="Q14" s="17">
        <v>0</v>
      </c>
      <c r="R14" s="22">
        <v>0</v>
      </c>
      <c r="S14" s="22">
        <v>0</v>
      </c>
      <c r="T14" s="28">
        <f t="shared" si="0"/>
        <v>370.39000000000004</v>
      </c>
    </row>
    <row r="15" spans="1:20">
      <c r="A15" s="23">
        <v>46152</v>
      </c>
      <c r="B15" s="22">
        <v>70</v>
      </c>
      <c r="C15" s="22">
        <v>10</v>
      </c>
      <c r="D15" s="22">
        <v>135</v>
      </c>
      <c r="E15" s="22">
        <v>0</v>
      </c>
      <c r="F15" s="17">
        <v>60</v>
      </c>
      <c r="G15" s="17">
        <v>4</v>
      </c>
      <c r="H15" s="17">
        <v>0</v>
      </c>
      <c r="I15" s="17">
        <v>0</v>
      </c>
      <c r="J15" s="22">
        <v>0</v>
      </c>
      <c r="K15" s="22">
        <v>4</v>
      </c>
      <c r="L15" s="22">
        <v>0</v>
      </c>
      <c r="M15" s="22">
        <v>0</v>
      </c>
      <c r="N15" s="17">
        <v>0</v>
      </c>
      <c r="O15" s="17">
        <v>0</v>
      </c>
      <c r="P15" s="17">
        <v>0</v>
      </c>
      <c r="Q15" s="17">
        <v>0</v>
      </c>
      <c r="R15" s="22">
        <v>0</v>
      </c>
      <c r="S15" s="22">
        <v>0</v>
      </c>
      <c r="T15" s="28">
        <f t="shared" si="0"/>
        <v>283</v>
      </c>
    </row>
    <row r="16" spans="1:20">
      <c r="A16" s="23">
        <v>46153</v>
      </c>
      <c r="B16" s="22">
        <v>45</v>
      </c>
      <c r="C16" s="22">
        <v>2</v>
      </c>
      <c r="D16" s="22">
        <v>0</v>
      </c>
      <c r="E16" s="22">
        <v>0</v>
      </c>
      <c r="F16" s="17">
        <v>0</v>
      </c>
      <c r="G16" s="17">
        <v>10</v>
      </c>
      <c r="H16" s="17">
        <v>0</v>
      </c>
      <c r="I16" s="17">
        <v>0</v>
      </c>
      <c r="J16" s="22">
        <v>159.66</v>
      </c>
      <c r="K16" s="22">
        <v>5</v>
      </c>
      <c r="L16" s="22">
        <v>0</v>
      </c>
      <c r="M16" s="22">
        <v>0</v>
      </c>
      <c r="N16" s="17">
        <v>0</v>
      </c>
      <c r="O16" s="17">
        <v>0</v>
      </c>
      <c r="P16" s="17">
        <v>0</v>
      </c>
      <c r="Q16" s="17">
        <v>0</v>
      </c>
      <c r="R16" s="22">
        <v>0</v>
      </c>
      <c r="S16" s="22">
        <v>0</v>
      </c>
      <c r="T16" s="28">
        <f t="shared" si="0"/>
        <v>221.66</v>
      </c>
    </row>
    <row r="17" spans="1:20">
      <c r="A17" s="23">
        <v>46154</v>
      </c>
      <c r="B17" s="22">
        <v>15</v>
      </c>
      <c r="C17" s="22">
        <v>6</v>
      </c>
      <c r="D17" s="22">
        <v>0</v>
      </c>
      <c r="E17" s="22">
        <v>0</v>
      </c>
      <c r="F17" s="17">
        <v>60</v>
      </c>
      <c r="G17" s="17">
        <v>11</v>
      </c>
      <c r="H17" s="17">
        <v>227</v>
      </c>
      <c r="I17" s="17">
        <v>0</v>
      </c>
      <c r="J17" s="22">
        <v>11.34</v>
      </c>
      <c r="K17" s="22">
        <v>6</v>
      </c>
      <c r="L17" s="22">
        <v>0</v>
      </c>
      <c r="M17" s="22">
        <v>0</v>
      </c>
      <c r="N17" s="17">
        <v>0</v>
      </c>
      <c r="O17" s="17">
        <v>0</v>
      </c>
      <c r="P17" s="17">
        <v>0</v>
      </c>
      <c r="Q17" s="17">
        <v>0</v>
      </c>
      <c r="R17" s="22">
        <v>0</v>
      </c>
      <c r="S17" s="22">
        <v>0</v>
      </c>
      <c r="T17" s="28">
        <f t="shared" si="0"/>
        <v>336.34</v>
      </c>
    </row>
    <row r="18" spans="1:20">
      <c r="A18" s="23">
        <v>46155</v>
      </c>
      <c r="B18" s="22">
        <v>30</v>
      </c>
      <c r="C18" s="22">
        <v>5</v>
      </c>
      <c r="D18" s="22">
        <v>0</v>
      </c>
      <c r="E18" s="22">
        <v>0</v>
      </c>
      <c r="F18" s="17">
        <v>120</v>
      </c>
      <c r="G18" s="24">
        <v>19</v>
      </c>
      <c r="H18" s="17">
        <v>260</v>
      </c>
      <c r="I18" s="17">
        <v>0</v>
      </c>
      <c r="J18" s="22">
        <v>3.32</v>
      </c>
      <c r="K18" s="22">
        <v>4</v>
      </c>
      <c r="L18" s="22">
        <v>0</v>
      </c>
      <c r="M18" s="22">
        <v>0</v>
      </c>
      <c r="N18" s="17">
        <v>0</v>
      </c>
      <c r="O18" s="17">
        <v>0</v>
      </c>
      <c r="P18" s="17">
        <v>0</v>
      </c>
      <c r="Q18" s="17">
        <v>0</v>
      </c>
      <c r="R18" s="22">
        <v>0</v>
      </c>
      <c r="S18" s="22">
        <v>0</v>
      </c>
      <c r="T18" s="28">
        <f t="shared" si="0"/>
        <v>441.32</v>
      </c>
    </row>
    <row r="19" spans="1:20">
      <c r="A19" s="23">
        <v>46156</v>
      </c>
      <c r="B19" s="22">
        <v>46.47</v>
      </c>
      <c r="C19" s="22">
        <v>7</v>
      </c>
      <c r="D19" s="22">
        <v>0</v>
      </c>
      <c r="E19" s="22">
        <v>0</v>
      </c>
      <c r="F19" s="17">
        <v>218</v>
      </c>
      <c r="G19" s="17">
        <v>9</v>
      </c>
      <c r="H19" s="17">
        <v>130</v>
      </c>
      <c r="I19" s="17">
        <v>0</v>
      </c>
      <c r="J19" s="22">
        <v>0</v>
      </c>
      <c r="K19" s="22">
        <v>4</v>
      </c>
      <c r="L19" s="22">
        <v>0</v>
      </c>
      <c r="M19" s="22">
        <v>0</v>
      </c>
      <c r="N19" s="17">
        <v>0</v>
      </c>
      <c r="O19" s="17">
        <v>0</v>
      </c>
      <c r="P19" s="17">
        <v>0</v>
      </c>
      <c r="Q19" s="17">
        <v>0</v>
      </c>
      <c r="R19" s="22">
        <v>9.5399999999999991</v>
      </c>
      <c r="S19" s="22">
        <v>2</v>
      </c>
      <c r="T19" s="28">
        <f t="shared" si="0"/>
        <v>426.01000000000005</v>
      </c>
    </row>
    <row r="20" spans="1:20">
      <c r="A20" s="23">
        <v>46157</v>
      </c>
      <c r="B20" s="22">
        <v>45</v>
      </c>
      <c r="C20" s="22">
        <v>6</v>
      </c>
      <c r="D20" s="22">
        <v>0</v>
      </c>
      <c r="E20" s="22">
        <v>0</v>
      </c>
      <c r="F20" s="17">
        <v>60</v>
      </c>
      <c r="G20" s="17">
        <v>7</v>
      </c>
      <c r="H20" s="17">
        <v>0</v>
      </c>
      <c r="I20" s="17">
        <v>0</v>
      </c>
      <c r="J20" s="22">
        <v>0</v>
      </c>
      <c r="K20" s="22">
        <v>4</v>
      </c>
      <c r="L20" s="22">
        <v>0</v>
      </c>
      <c r="M20" s="22">
        <v>0</v>
      </c>
      <c r="N20" s="17">
        <v>0</v>
      </c>
      <c r="O20" s="17">
        <v>0</v>
      </c>
      <c r="P20" s="17">
        <v>0</v>
      </c>
      <c r="Q20" s="17">
        <v>0</v>
      </c>
      <c r="R20" s="22">
        <v>0</v>
      </c>
      <c r="S20" s="22">
        <v>0</v>
      </c>
      <c r="T20" s="28">
        <f t="shared" si="0"/>
        <v>122</v>
      </c>
    </row>
    <row r="21" spans="1:20">
      <c r="A21" s="23">
        <v>46158</v>
      </c>
      <c r="B21" s="22">
        <v>128.76</v>
      </c>
      <c r="C21" s="22">
        <v>8</v>
      </c>
      <c r="D21" s="22">
        <v>135</v>
      </c>
      <c r="E21" s="22">
        <v>0</v>
      </c>
      <c r="F21" s="17">
        <v>60</v>
      </c>
      <c r="G21" s="17">
        <v>9</v>
      </c>
      <c r="H21" s="17">
        <v>130</v>
      </c>
      <c r="I21" s="17">
        <v>0</v>
      </c>
      <c r="J21" s="22">
        <v>0</v>
      </c>
      <c r="K21" s="22">
        <v>3</v>
      </c>
      <c r="L21" s="22">
        <v>250</v>
      </c>
      <c r="M21" s="22">
        <v>0</v>
      </c>
      <c r="N21" s="17">
        <v>0</v>
      </c>
      <c r="O21" s="17">
        <v>0</v>
      </c>
      <c r="P21" s="17">
        <v>0</v>
      </c>
      <c r="Q21" s="17">
        <v>0</v>
      </c>
      <c r="R21" s="22">
        <v>0.12</v>
      </c>
      <c r="S21" s="22">
        <v>1</v>
      </c>
      <c r="T21" s="28">
        <f t="shared" si="0"/>
        <v>724.88</v>
      </c>
    </row>
    <row r="22" spans="1:20">
      <c r="A22" s="23">
        <v>46159</v>
      </c>
      <c r="B22" s="22">
        <v>45</v>
      </c>
      <c r="C22" s="22">
        <v>5</v>
      </c>
      <c r="D22" s="22">
        <v>0</v>
      </c>
      <c r="E22" s="22">
        <v>0</v>
      </c>
      <c r="F22" s="17">
        <v>60</v>
      </c>
      <c r="G22" s="17">
        <v>11</v>
      </c>
      <c r="H22" s="17">
        <v>130</v>
      </c>
      <c r="I22" s="17">
        <v>0</v>
      </c>
      <c r="J22" s="22">
        <v>11.37</v>
      </c>
      <c r="K22" s="22">
        <v>4</v>
      </c>
      <c r="L22" s="22">
        <v>0</v>
      </c>
      <c r="M22" s="22">
        <v>0</v>
      </c>
      <c r="N22" s="17">
        <v>0</v>
      </c>
      <c r="O22" s="17">
        <v>0</v>
      </c>
      <c r="P22" s="17">
        <v>0</v>
      </c>
      <c r="Q22" s="17">
        <v>0</v>
      </c>
      <c r="R22" s="22">
        <v>22.71</v>
      </c>
      <c r="S22" s="22">
        <v>1</v>
      </c>
      <c r="T22" s="28">
        <f t="shared" si="0"/>
        <v>290.08</v>
      </c>
    </row>
    <row r="23" spans="1:20">
      <c r="A23" s="23">
        <v>46160</v>
      </c>
      <c r="B23" s="22">
        <v>55.26</v>
      </c>
      <c r="C23" s="22">
        <v>6</v>
      </c>
      <c r="D23" s="22">
        <v>0</v>
      </c>
      <c r="E23" s="22">
        <v>0</v>
      </c>
      <c r="F23" s="17">
        <v>120</v>
      </c>
      <c r="G23" s="17">
        <v>16</v>
      </c>
      <c r="H23" s="17">
        <v>0</v>
      </c>
      <c r="I23" s="17">
        <v>0</v>
      </c>
      <c r="J23" s="22">
        <v>150.19999999999999</v>
      </c>
      <c r="K23" s="22">
        <v>6</v>
      </c>
      <c r="L23" s="22">
        <v>0</v>
      </c>
      <c r="M23" s="22">
        <v>0</v>
      </c>
      <c r="N23" s="17">
        <v>0</v>
      </c>
      <c r="O23" s="17">
        <v>0</v>
      </c>
      <c r="P23" s="17">
        <v>0</v>
      </c>
      <c r="Q23" s="17">
        <v>0</v>
      </c>
      <c r="R23" s="22">
        <v>0</v>
      </c>
      <c r="S23" s="22">
        <v>0</v>
      </c>
      <c r="T23" s="28">
        <f t="shared" si="0"/>
        <v>353.46</v>
      </c>
    </row>
    <row r="24" spans="1:20">
      <c r="A24" s="23">
        <v>46161</v>
      </c>
      <c r="B24" s="22">
        <v>60</v>
      </c>
      <c r="C24" s="22">
        <v>8</v>
      </c>
      <c r="D24" s="22">
        <v>60</v>
      </c>
      <c r="E24" s="22">
        <v>0</v>
      </c>
      <c r="F24" s="17">
        <v>60</v>
      </c>
      <c r="G24" s="17">
        <v>8</v>
      </c>
      <c r="H24" s="17">
        <v>0</v>
      </c>
      <c r="I24" s="17">
        <v>230</v>
      </c>
      <c r="J24" s="22">
        <v>8.16</v>
      </c>
      <c r="K24" s="22">
        <v>5</v>
      </c>
      <c r="L24" s="22">
        <v>0</v>
      </c>
      <c r="M24" s="22">
        <v>0</v>
      </c>
      <c r="N24" s="17">
        <v>0</v>
      </c>
      <c r="O24" s="17">
        <v>0</v>
      </c>
      <c r="P24" s="17">
        <v>0</v>
      </c>
      <c r="Q24" s="17">
        <v>0</v>
      </c>
      <c r="R24" s="22">
        <v>0.06</v>
      </c>
      <c r="S24" s="22">
        <v>1</v>
      </c>
      <c r="T24" s="28">
        <f t="shared" si="0"/>
        <v>440.22</v>
      </c>
    </row>
    <row r="25" spans="1:20">
      <c r="A25" s="23">
        <v>46162</v>
      </c>
      <c r="B25" s="22">
        <v>45</v>
      </c>
      <c r="C25" s="22">
        <v>6</v>
      </c>
      <c r="D25" s="22">
        <v>0</v>
      </c>
      <c r="E25" s="22">
        <v>0</v>
      </c>
      <c r="F25" s="17">
        <v>60</v>
      </c>
      <c r="G25" s="17">
        <v>15</v>
      </c>
      <c r="H25" s="17">
        <v>130</v>
      </c>
      <c r="I25" s="17">
        <v>0</v>
      </c>
      <c r="J25" s="22">
        <v>0</v>
      </c>
      <c r="K25" s="22">
        <v>4</v>
      </c>
      <c r="L25" s="22">
        <v>0</v>
      </c>
      <c r="M25" s="22">
        <v>0</v>
      </c>
      <c r="N25" s="17">
        <v>0</v>
      </c>
      <c r="O25" s="17">
        <v>0</v>
      </c>
      <c r="P25" s="17">
        <v>0</v>
      </c>
      <c r="Q25" s="17">
        <v>0</v>
      </c>
      <c r="R25" s="22">
        <v>60</v>
      </c>
      <c r="S25" s="22">
        <v>0</v>
      </c>
      <c r="T25" s="28">
        <f t="shared" si="0"/>
        <v>320</v>
      </c>
    </row>
    <row r="26" spans="1:20">
      <c r="A26" s="23">
        <v>46163</v>
      </c>
      <c r="B26" s="22">
        <v>45</v>
      </c>
      <c r="C26" s="22">
        <v>7</v>
      </c>
      <c r="D26" s="22">
        <v>0</v>
      </c>
      <c r="E26" s="22">
        <v>0</v>
      </c>
      <c r="F26" s="17">
        <v>120</v>
      </c>
      <c r="G26" s="17">
        <v>13</v>
      </c>
      <c r="H26" s="17">
        <v>260</v>
      </c>
      <c r="I26" s="17">
        <v>0</v>
      </c>
      <c r="J26" s="22">
        <v>156.37</v>
      </c>
      <c r="K26" s="22">
        <v>1</v>
      </c>
      <c r="L26" s="22">
        <v>0</v>
      </c>
      <c r="M26" s="22">
        <v>0</v>
      </c>
      <c r="N26" s="17">
        <v>25</v>
      </c>
      <c r="O26" s="17">
        <v>0</v>
      </c>
      <c r="P26" s="17">
        <v>0</v>
      </c>
      <c r="Q26" s="17">
        <v>0</v>
      </c>
      <c r="R26" s="22">
        <v>6.96</v>
      </c>
      <c r="S26" s="22">
        <v>2</v>
      </c>
      <c r="T26" s="28">
        <f t="shared" si="0"/>
        <v>636.33000000000004</v>
      </c>
    </row>
    <row r="27" spans="1:20">
      <c r="A27" s="23">
        <v>46164</v>
      </c>
      <c r="B27" s="22">
        <v>45</v>
      </c>
      <c r="C27" s="22">
        <v>9</v>
      </c>
      <c r="D27" s="22">
        <v>10</v>
      </c>
      <c r="E27" s="22">
        <v>0</v>
      </c>
      <c r="F27" s="17">
        <v>120</v>
      </c>
      <c r="G27" s="17">
        <v>12</v>
      </c>
      <c r="H27" s="17">
        <v>0</v>
      </c>
      <c r="I27" s="17">
        <v>0</v>
      </c>
      <c r="J27" s="22">
        <v>16.86</v>
      </c>
      <c r="K27" s="22">
        <v>4</v>
      </c>
      <c r="L27" s="22">
        <v>0</v>
      </c>
      <c r="M27" s="22">
        <v>0</v>
      </c>
      <c r="N27" s="17">
        <v>0</v>
      </c>
      <c r="O27" s="17">
        <v>0</v>
      </c>
      <c r="P27" s="17">
        <v>0</v>
      </c>
      <c r="Q27" s="17">
        <v>0</v>
      </c>
      <c r="R27" s="22">
        <v>0</v>
      </c>
      <c r="S27" s="22">
        <v>0</v>
      </c>
      <c r="T27" s="28">
        <f t="shared" si="0"/>
        <v>216.86</v>
      </c>
    </row>
    <row r="28" spans="1:20">
      <c r="A28" s="23">
        <v>46165</v>
      </c>
      <c r="B28" s="22">
        <v>100.26</v>
      </c>
      <c r="C28" s="22">
        <v>9</v>
      </c>
      <c r="D28" s="22">
        <v>0</v>
      </c>
      <c r="E28" s="22">
        <v>0</v>
      </c>
      <c r="F28" s="17">
        <v>120</v>
      </c>
      <c r="G28" s="17">
        <v>8</v>
      </c>
      <c r="H28" s="17">
        <v>0</v>
      </c>
      <c r="I28" s="17">
        <v>0</v>
      </c>
      <c r="J28" s="22">
        <v>0</v>
      </c>
      <c r="K28" s="22">
        <v>4</v>
      </c>
      <c r="L28" s="22">
        <v>0</v>
      </c>
      <c r="M28" s="22">
        <v>0</v>
      </c>
      <c r="N28" s="17">
        <v>0</v>
      </c>
      <c r="O28" s="17">
        <v>0</v>
      </c>
      <c r="P28" s="17">
        <v>0</v>
      </c>
      <c r="Q28" s="17">
        <v>0</v>
      </c>
      <c r="R28" s="22">
        <v>0</v>
      </c>
      <c r="S28" s="22">
        <v>0</v>
      </c>
      <c r="T28" s="28">
        <f t="shared" si="0"/>
        <v>241.26</v>
      </c>
    </row>
    <row r="29" spans="1:20">
      <c r="A29" s="23">
        <v>46166</v>
      </c>
      <c r="B29" s="22"/>
      <c r="C29" s="22"/>
      <c r="D29" s="22"/>
      <c r="E29" s="22"/>
      <c r="F29" s="17"/>
      <c r="G29" s="17"/>
      <c r="H29" s="17"/>
      <c r="I29" s="17"/>
      <c r="J29" s="22"/>
      <c r="K29" s="22"/>
      <c r="L29" s="22"/>
      <c r="M29" s="22"/>
      <c r="N29" s="17">
        <v>0</v>
      </c>
      <c r="O29" s="17">
        <v>0</v>
      </c>
      <c r="P29" s="17">
        <v>0</v>
      </c>
      <c r="Q29" s="17">
        <v>0</v>
      </c>
      <c r="R29" s="22"/>
      <c r="S29" s="22"/>
      <c r="T29" s="28">
        <f t="shared" si="0"/>
        <v>0</v>
      </c>
    </row>
    <row r="30" spans="1:20">
      <c r="A30" s="23">
        <v>46167</v>
      </c>
      <c r="B30" s="22"/>
      <c r="C30" s="22"/>
      <c r="D30" s="22"/>
      <c r="E30" s="22"/>
      <c r="F30" s="17"/>
      <c r="G30" s="17"/>
      <c r="H30" s="17"/>
      <c r="I30" s="17"/>
      <c r="J30" s="22"/>
      <c r="K30" s="22"/>
      <c r="L30" s="22"/>
      <c r="M30" s="22"/>
      <c r="N30" s="17">
        <v>0</v>
      </c>
      <c r="O30" s="17">
        <v>0</v>
      </c>
      <c r="P30" s="17">
        <v>0</v>
      </c>
      <c r="Q30" s="17">
        <v>0</v>
      </c>
      <c r="R30" s="22"/>
      <c r="S30" s="22"/>
      <c r="T30" s="28">
        <f t="shared" si="0"/>
        <v>0</v>
      </c>
    </row>
    <row r="31" spans="1:20">
      <c r="A31" s="23">
        <v>46168</v>
      </c>
      <c r="B31" s="22"/>
      <c r="C31" s="22"/>
      <c r="D31" s="22"/>
      <c r="E31" s="22"/>
      <c r="F31" s="17"/>
      <c r="G31" s="17"/>
      <c r="H31" s="17"/>
      <c r="I31" s="17"/>
      <c r="J31" s="22"/>
      <c r="K31" s="22"/>
      <c r="L31" s="22"/>
      <c r="M31" s="22"/>
      <c r="N31" s="17">
        <v>0</v>
      </c>
      <c r="O31" s="17">
        <v>0</v>
      </c>
      <c r="P31" s="17">
        <v>0</v>
      </c>
      <c r="Q31" s="17">
        <v>0</v>
      </c>
      <c r="R31" s="22"/>
      <c r="S31" s="22"/>
      <c r="T31" s="28">
        <f t="shared" si="0"/>
        <v>0</v>
      </c>
    </row>
    <row r="32" spans="1:20">
      <c r="A32" s="23">
        <v>46169</v>
      </c>
      <c r="B32" s="22"/>
      <c r="C32" s="22"/>
      <c r="D32" s="22"/>
      <c r="E32" s="22"/>
      <c r="F32" s="17"/>
      <c r="G32" s="17"/>
      <c r="H32" s="17"/>
      <c r="I32" s="17"/>
      <c r="J32" s="22"/>
      <c r="K32" s="22"/>
      <c r="L32" s="22"/>
      <c r="M32" s="22"/>
      <c r="N32" s="17">
        <v>0</v>
      </c>
      <c r="O32" s="17">
        <v>0</v>
      </c>
      <c r="P32" s="17">
        <v>0</v>
      </c>
      <c r="Q32" s="17">
        <v>0</v>
      </c>
      <c r="R32" s="22"/>
      <c r="S32" s="22"/>
      <c r="T32" s="28">
        <f t="shared" si="0"/>
        <v>0</v>
      </c>
    </row>
    <row r="33" spans="1:20">
      <c r="A33" s="23">
        <v>46170</v>
      </c>
      <c r="B33" s="22"/>
      <c r="C33" s="22"/>
      <c r="D33" s="22"/>
      <c r="E33" s="22"/>
      <c r="F33" s="17"/>
      <c r="G33" s="17"/>
      <c r="H33" s="17"/>
      <c r="I33" s="17"/>
      <c r="J33" s="22"/>
      <c r="K33" s="22"/>
      <c r="L33" s="22"/>
      <c r="M33" s="22"/>
      <c r="N33" s="17">
        <v>0</v>
      </c>
      <c r="O33" s="17">
        <v>0</v>
      </c>
      <c r="P33" s="17">
        <v>0</v>
      </c>
      <c r="Q33" s="17">
        <v>0</v>
      </c>
      <c r="R33" s="22"/>
      <c r="S33" s="22"/>
      <c r="T33" s="28">
        <f t="shared" si="0"/>
        <v>0</v>
      </c>
    </row>
    <row r="34" spans="1:20">
      <c r="A34" s="23">
        <v>46171</v>
      </c>
      <c r="B34" s="22"/>
      <c r="C34" s="22"/>
      <c r="D34" s="22"/>
      <c r="E34" s="22"/>
      <c r="F34" s="17"/>
      <c r="G34" s="17"/>
      <c r="H34" s="17"/>
      <c r="I34" s="17"/>
      <c r="J34" s="22"/>
      <c r="K34" s="22"/>
      <c r="L34" s="22"/>
      <c r="M34" s="22"/>
      <c r="N34" s="17">
        <v>0</v>
      </c>
      <c r="O34" s="17">
        <v>0</v>
      </c>
      <c r="P34" s="17">
        <v>0</v>
      </c>
      <c r="Q34" s="17">
        <v>0</v>
      </c>
      <c r="R34" s="22"/>
      <c r="S34" s="22"/>
      <c r="T34" s="28">
        <f t="shared" si="0"/>
        <v>0</v>
      </c>
    </row>
    <row r="35" spans="1:20">
      <c r="A35" s="23">
        <v>46172</v>
      </c>
      <c r="B35" s="22"/>
      <c r="C35" s="22"/>
      <c r="D35" s="22"/>
      <c r="E35" s="22"/>
      <c r="F35" s="17"/>
      <c r="G35" s="17"/>
      <c r="H35" s="17"/>
      <c r="I35" s="17"/>
      <c r="J35" s="22"/>
      <c r="K35" s="22"/>
      <c r="L35" s="22"/>
      <c r="M35" s="22"/>
      <c r="N35" s="17">
        <v>0</v>
      </c>
      <c r="O35" s="17">
        <v>0</v>
      </c>
      <c r="P35" s="17">
        <v>0</v>
      </c>
      <c r="Q35" s="17">
        <v>0</v>
      </c>
      <c r="R35" s="22"/>
      <c r="S35" s="22"/>
      <c r="T35" s="28">
        <f t="shared" si="0"/>
        <v>0</v>
      </c>
    </row>
    <row r="36" spans="1:20">
      <c r="A36" s="23">
        <v>46173</v>
      </c>
      <c r="B36" s="22"/>
      <c r="C36" s="22"/>
      <c r="D36" s="22"/>
      <c r="E36" s="22"/>
      <c r="F36" s="17"/>
      <c r="G36" s="17"/>
      <c r="H36" s="17"/>
      <c r="I36" s="17"/>
      <c r="J36" s="22"/>
      <c r="K36" s="22"/>
      <c r="L36" s="22"/>
      <c r="M36" s="22"/>
      <c r="N36" s="17">
        <v>0</v>
      </c>
      <c r="O36" s="17"/>
      <c r="P36" s="17"/>
      <c r="Q36" s="17"/>
      <c r="R36" s="22"/>
      <c r="S36" s="22"/>
      <c r="T36" s="28">
        <f t="shared" si="0"/>
        <v>0</v>
      </c>
    </row>
    <row r="37" spans="1:20">
      <c r="A37" s="16" t="s">
        <v>1</v>
      </c>
      <c r="B37" s="16">
        <f t="shared" ref="B37:S37" si="1">SUM(B7:B36)</f>
        <v>860.98</v>
      </c>
      <c r="C37" s="16">
        <f t="shared" si="1"/>
        <v>101</v>
      </c>
      <c r="D37" s="16">
        <f t="shared" si="1"/>
        <v>340</v>
      </c>
      <c r="E37" s="16">
        <f t="shared" si="1"/>
        <v>0</v>
      </c>
      <c r="F37" s="16">
        <f t="shared" si="1"/>
        <v>1358</v>
      </c>
      <c r="G37" s="16">
        <f t="shared" si="1"/>
        <v>161</v>
      </c>
      <c r="H37" s="16">
        <f t="shared" si="1"/>
        <v>1397</v>
      </c>
      <c r="I37" s="16">
        <f t="shared" si="1"/>
        <v>230</v>
      </c>
      <c r="J37" s="16">
        <f t="shared" si="1"/>
        <v>532.43999999999994</v>
      </c>
      <c r="K37" s="16">
        <f t="shared" si="1"/>
        <v>62</v>
      </c>
      <c r="L37" s="16">
        <f t="shared" si="1"/>
        <v>250</v>
      </c>
      <c r="M37" s="16">
        <f t="shared" si="1"/>
        <v>0</v>
      </c>
      <c r="N37" s="16">
        <f t="shared" si="1"/>
        <v>25</v>
      </c>
      <c r="O37" s="16">
        <f t="shared" si="1"/>
        <v>0</v>
      </c>
      <c r="P37" s="16">
        <f t="shared" si="1"/>
        <v>0</v>
      </c>
      <c r="Q37" s="16">
        <f t="shared" si="1"/>
        <v>0</v>
      </c>
      <c r="R37" s="16">
        <f t="shared" si="1"/>
        <v>99.39</v>
      </c>
      <c r="S37" s="16">
        <f t="shared" si="1"/>
        <v>7</v>
      </c>
      <c r="T37" s="28">
        <f t="shared" si="0"/>
        <v>5423.8099999999995</v>
      </c>
    </row>
  </sheetData>
  <mergeCells count="6">
    <mergeCell ref="A1:T3"/>
    <mergeCell ref="B4:E4"/>
    <mergeCell ref="F4:I4"/>
    <mergeCell ref="J4:M4"/>
    <mergeCell ref="R4:S4"/>
    <mergeCell ref="N4:Q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5"/>
  <sheetViews>
    <sheetView topLeftCell="A12" workbookViewId="0">
      <selection activeCell="L27" sqref="L27"/>
    </sheetView>
  </sheetViews>
  <sheetFormatPr defaultRowHeight="15"/>
  <cols>
    <col min="1" max="1" width="10.140625" bestFit="1" customWidth="1"/>
    <col min="2" max="2" width="11.85546875" bestFit="1" customWidth="1"/>
    <col min="3" max="5" width="9.140625" style="29"/>
    <col min="6" max="6" width="10" customWidth="1"/>
    <col min="7" max="7" width="20.28515625" bestFit="1" customWidth="1"/>
    <col min="11" max="11" width="30.140625" customWidth="1"/>
    <col min="12" max="12" width="15.85546875" customWidth="1"/>
  </cols>
  <sheetData>
    <row r="1" spans="1:12" ht="28.5">
      <c r="A1" s="144" t="s">
        <v>45</v>
      </c>
      <c r="B1" s="144"/>
      <c r="C1" s="144"/>
      <c r="D1" s="144"/>
      <c r="E1" s="144"/>
      <c r="F1" s="144"/>
      <c r="G1" s="144"/>
      <c r="H1" s="144"/>
      <c r="I1" s="144"/>
      <c r="K1" s="145" t="s">
        <v>4</v>
      </c>
      <c r="L1" s="146"/>
    </row>
    <row r="2" spans="1:12" ht="15.75">
      <c r="A2" s="30" t="s">
        <v>46</v>
      </c>
      <c r="B2" s="37" t="s">
        <v>47</v>
      </c>
      <c r="C2" s="37" t="s">
        <v>50</v>
      </c>
      <c r="D2" s="37" t="s">
        <v>51</v>
      </c>
      <c r="E2" s="37" t="s">
        <v>49</v>
      </c>
      <c r="F2" s="37"/>
      <c r="G2" s="37" t="s">
        <v>54</v>
      </c>
      <c r="H2" s="30" t="s">
        <v>48</v>
      </c>
      <c r="I2" s="30" t="s">
        <v>49</v>
      </c>
      <c r="K2" s="38" t="s">
        <v>52</v>
      </c>
      <c r="L2" s="38" t="s">
        <v>53</v>
      </c>
    </row>
    <row r="3" spans="1:12">
      <c r="A3" s="34">
        <v>46143</v>
      </c>
      <c r="B3" s="31"/>
      <c r="C3" s="31"/>
      <c r="D3" s="31"/>
      <c r="E3" s="31"/>
      <c r="F3" s="32"/>
      <c r="G3" s="31"/>
      <c r="H3" s="31"/>
      <c r="I3" s="31"/>
      <c r="K3" s="31"/>
      <c r="L3" s="31">
        <v>0</v>
      </c>
    </row>
    <row r="4" spans="1:12">
      <c r="A4" s="34">
        <v>46144</v>
      </c>
      <c r="B4" s="31"/>
      <c r="C4" s="31"/>
      <c r="D4" s="31"/>
      <c r="E4" s="31"/>
      <c r="F4" s="32"/>
      <c r="G4" s="31"/>
      <c r="H4" s="31"/>
      <c r="I4" s="31"/>
      <c r="K4" s="31"/>
      <c r="L4" s="47">
        <v>0</v>
      </c>
    </row>
    <row r="5" spans="1:12">
      <c r="A5" s="34">
        <v>46145</v>
      </c>
      <c r="B5" s="31"/>
      <c r="C5" s="31"/>
      <c r="D5" s="31"/>
      <c r="E5" s="31"/>
      <c r="F5" s="32"/>
      <c r="G5" s="31"/>
      <c r="H5" s="31"/>
      <c r="I5" s="31"/>
      <c r="K5" s="31"/>
      <c r="L5" s="47">
        <v>0</v>
      </c>
    </row>
    <row r="6" spans="1:12">
      <c r="A6" s="34">
        <v>46146</v>
      </c>
      <c r="B6" s="31"/>
      <c r="C6" s="31"/>
      <c r="D6" s="31"/>
      <c r="E6" s="31"/>
      <c r="F6" s="32"/>
      <c r="G6" s="31"/>
      <c r="H6" s="31"/>
      <c r="I6" s="31"/>
      <c r="K6" s="31"/>
      <c r="L6" s="47">
        <v>0</v>
      </c>
    </row>
    <row r="7" spans="1:12">
      <c r="A7" s="34">
        <v>46147</v>
      </c>
      <c r="B7" s="31"/>
      <c r="C7" s="31"/>
      <c r="D7" s="31"/>
      <c r="E7" s="31"/>
      <c r="F7" s="32"/>
      <c r="G7" s="31"/>
      <c r="H7" s="31"/>
      <c r="I7" s="31"/>
      <c r="K7" s="31"/>
      <c r="L7" s="47">
        <v>0</v>
      </c>
    </row>
    <row r="8" spans="1:12">
      <c r="A8" s="34">
        <v>46148</v>
      </c>
      <c r="B8" s="31"/>
      <c r="C8" s="31"/>
      <c r="D8" s="31"/>
      <c r="E8" s="31"/>
      <c r="F8" s="32"/>
      <c r="G8" s="31"/>
      <c r="H8" s="31"/>
      <c r="I8" s="31"/>
      <c r="K8" s="31"/>
      <c r="L8" s="47">
        <v>0</v>
      </c>
    </row>
    <row r="9" spans="1:12">
      <c r="A9" s="34">
        <v>46149</v>
      </c>
      <c r="B9" s="31"/>
      <c r="C9" s="31"/>
      <c r="D9" s="31"/>
      <c r="E9" s="31"/>
      <c r="F9" s="32"/>
      <c r="G9" s="31"/>
      <c r="H9" s="31"/>
      <c r="I9" s="31"/>
      <c r="K9" s="31"/>
      <c r="L9" s="47">
        <v>0</v>
      </c>
    </row>
    <row r="10" spans="1:12">
      <c r="A10" s="34">
        <v>46150</v>
      </c>
      <c r="B10" s="31"/>
      <c r="C10" s="31"/>
      <c r="D10" s="31"/>
      <c r="E10" s="31"/>
      <c r="F10" s="32"/>
      <c r="G10" s="31"/>
      <c r="H10" s="31"/>
      <c r="I10" s="31"/>
      <c r="K10" s="31"/>
      <c r="L10" s="47">
        <v>0</v>
      </c>
    </row>
    <row r="11" spans="1:12">
      <c r="A11" s="34">
        <v>46151</v>
      </c>
      <c r="B11" s="35">
        <v>8</v>
      </c>
      <c r="C11" s="31">
        <v>4500</v>
      </c>
      <c r="D11" s="31">
        <v>2580</v>
      </c>
      <c r="E11" s="31">
        <f>C11-D11</f>
        <v>1920</v>
      </c>
      <c r="F11" s="32"/>
      <c r="G11" s="31">
        <v>10010</v>
      </c>
      <c r="H11" s="31">
        <v>2638</v>
      </c>
      <c r="I11" s="31">
        <f>G11-H11</f>
        <v>7372</v>
      </c>
      <c r="K11" s="31"/>
      <c r="L11" s="47">
        <v>0</v>
      </c>
    </row>
    <row r="12" spans="1:12">
      <c r="A12" s="34">
        <v>46152</v>
      </c>
      <c r="B12" s="35">
        <v>6</v>
      </c>
      <c r="C12" s="31">
        <v>5850</v>
      </c>
      <c r="D12" s="31">
        <v>2850</v>
      </c>
      <c r="E12" s="31">
        <f t="shared" ref="E12:E33" si="0">C12-D12</f>
        <v>3000</v>
      </c>
      <c r="F12" s="32"/>
      <c r="G12" s="31">
        <v>3339</v>
      </c>
      <c r="H12" s="31">
        <v>1338</v>
      </c>
      <c r="I12" s="31">
        <f t="shared" ref="I12:I33" si="1">G12-H12</f>
        <v>2001</v>
      </c>
      <c r="K12" s="31"/>
      <c r="L12" s="47">
        <v>0</v>
      </c>
    </row>
    <row r="13" spans="1:12">
      <c r="A13" s="34">
        <v>46153</v>
      </c>
      <c r="B13" s="36">
        <v>10</v>
      </c>
      <c r="C13" s="31">
        <v>8690</v>
      </c>
      <c r="D13" s="31">
        <v>4250</v>
      </c>
      <c r="E13" s="31">
        <f t="shared" si="0"/>
        <v>4440</v>
      </c>
      <c r="F13" s="33"/>
      <c r="G13" s="31">
        <v>5669</v>
      </c>
      <c r="H13" s="31">
        <v>2349</v>
      </c>
      <c r="I13" s="31">
        <f t="shared" si="1"/>
        <v>3320</v>
      </c>
      <c r="K13" s="31"/>
      <c r="L13" s="47">
        <v>0</v>
      </c>
    </row>
    <row r="14" spans="1:12">
      <c r="A14" s="34">
        <v>46154</v>
      </c>
      <c r="B14" s="35">
        <v>3</v>
      </c>
      <c r="C14" s="31">
        <v>350</v>
      </c>
      <c r="D14" s="31">
        <v>0</v>
      </c>
      <c r="E14" s="31">
        <f t="shared" si="0"/>
        <v>350</v>
      </c>
      <c r="F14" s="32"/>
      <c r="G14" s="31">
        <v>2400</v>
      </c>
      <c r="H14" s="31">
        <v>876</v>
      </c>
      <c r="I14" s="31">
        <f t="shared" si="1"/>
        <v>1524</v>
      </c>
      <c r="K14" s="31"/>
      <c r="L14" s="47">
        <v>0</v>
      </c>
    </row>
    <row r="15" spans="1:12">
      <c r="A15" s="34">
        <v>46155</v>
      </c>
      <c r="B15" s="35">
        <v>14</v>
      </c>
      <c r="C15" s="31">
        <v>6880</v>
      </c>
      <c r="D15" s="31">
        <v>2725</v>
      </c>
      <c r="E15" s="31">
        <f t="shared" si="0"/>
        <v>4155</v>
      </c>
      <c r="F15" s="32"/>
      <c r="G15" s="31">
        <v>6765</v>
      </c>
      <c r="H15" s="31">
        <v>2535</v>
      </c>
      <c r="I15" s="31">
        <f t="shared" si="1"/>
        <v>4230</v>
      </c>
      <c r="K15" s="31"/>
      <c r="L15" s="47">
        <v>0</v>
      </c>
    </row>
    <row r="16" spans="1:12">
      <c r="A16" s="34">
        <v>46156</v>
      </c>
      <c r="B16" s="35">
        <v>5</v>
      </c>
      <c r="C16" s="31">
        <v>2930</v>
      </c>
      <c r="D16" s="31">
        <v>1600</v>
      </c>
      <c r="E16" s="31">
        <f t="shared" si="0"/>
        <v>1330</v>
      </c>
      <c r="F16" s="32"/>
      <c r="G16" s="31">
        <v>4300</v>
      </c>
      <c r="H16" s="31">
        <v>2543</v>
      </c>
      <c r="I16" s="31">
        <f t="shared" si="1"/>
        <v>1757</v>
      </c>
      <c r="K16" s="31"/>
      <c r="L16" s="47">
        <v>0</v>
      </c>
    </row>
    <row r="17" spans="1:12">
      <c r="A17" s="34">
        <v>46157</v>
      </c>
      <c r="B17" s="35">
        <v>8</v>
      </c>
      <c r="C17" s="31">
        <v>9520</v>
      </c>
      <c r="D17" s="31">
        <v>4520</v>
      </c>
      <c r="E17" s="31">
        <f t="shared" si="0"/>
        <v>5000</v>
      </c>
      <c r="F17" s="32"/>
      <c r="G17" s="31">
        <v>2650</v>
      </c>
      <c r="H17" s="31">
        <v>1356</v>
      </c>
      <c r="I17" s="31">
        <f t="shared" si="1"/>
        <v>1294</v>
      </c>
      <c r="K17" s="31"/>
      <c r="L17" s="47">
        <v>0</v>
      </c>
    </row>
    <row r="18" spans="1:12">
      <c r="A18" s="34">
        <v>46158</v>
      </c>
      <c r="B18" s="35">
        <v>6</v>
      </c>
      <c r="C18" s="31">
        <v>2840</v>
      </c>
      <c r="D18" s="31">
        <v>1330</v>
      </c>
      <c r="E18" s="31">
        <f t="shared" si="0"/>
        <v>1510</v>
      </c>
      <c r="F18" s="32"/>
      <c r="G18" s="31">
        <v>3418</v>
      </c>
      <c r="H18" s="31">
        <v>1134</v>
      </c>
      <c r="I18" s="31">
        <f t="shared" si="1"/>
        <v>2284</v>
      </c>
      <c r="K18" s="31"/>
      <c r="L18" s="47">
        <v>0</v>
      </c>
    </row>
    <row r="19" spans="1:12">
      <c r="A19" s="34">
        <v>46159</v>
      </c>
      <c r="B19" s="31">
        <v>11</v>
      </c>
      <c r="C19" s="31">
        <v>9800</v>
      </c>
      <c r="D19" s="31">
        <v>4940</v>
      </c>
      <c r="E19" s="31">
        <f>C19-D19</f>
        <v>4860</v>
      </c>
      <c r="F19" s="32"/>
      <c r="G19" s="31">
        <v>4020</v>
      </c>
      <c r="H19" s="31">
        <v>1265</v>
      </c>
      <c r="I19" s="31">
        <f t="shared" si="1"/>
        <v>2755</v>
      </c>
      <c r="K19" s="31"/>
      <c r="L19" s="47">
        <v>0</v>
      </c>
    </row>
    <row r="20" spans="1:12">
      <c r="A20" s="34">
        <v>46160</v>
      </c>
      <c r="B20" s="31">
        <v>3</v>
      </c>
      <c r="C20" s="31">
        <v>1350</v>
      </c>
      <c r="D20" s="31">
        <v>550</v>
      </c>
      <c r="E20" s="31">
        <f t="shared" si="0"/>
        <v>800</v>
      </c>
      <c r="F20" s="32"/>
      <c r="G20" s="31">
        <v>1280</v>
      </c>
      <c r="H20" s="31">
        <v>475</v>
      </c>
      <c r="I20" s="31">
        <f t="shared" si="1"/>
        <v>805</v>
      </c>
      <c r="K20" s="31"/>
      <c r="L20" s="47">
        <v>0</v>
      </c>
    </row>
    <row r="21" spans="1:12">
      <c r="A21" s="34">
        <v>46161</v>
      </c>
      <c r="B21" s="31">
        <v>3</v>
      </c>
      <c r="C21" s="31">
        <v>500</v>
      </c>
      <c r="D21" s="31">
        <v>0</v>
      </c>
      <c r="E21" s="31">
        <f t="shared" si="0"/>
        <v>500</v>
      </c>
      <c r="F21" s="32"/>
      <c r="G21" s="31">
        <v>3700</v>
      </c>
      <c r="H21" s="31">
        <v>1768</v>
      </c>
      <c r="I21" s="31">
        <f t="shared" si="1"/>
        <v>1932</v>
      </c>
      <c r="K21" s="31"/>
      <c r="L21" s="47">
        <v>0</v>
      </c>
    </row>
    <row r="22" spans="1:12">
      <c r="A22" s="34">
        <v>46162</v>
      </c>
      <c r="B22" s="31">
        <v>3</v>
      </c>
      <c r="C22" s="31">
        <v>1300</v>
      </c>
      <c r="D22" s="31">
        <v>670</v>
      </c>
      <c r="E22" s="31">
        <f t="shared" si="0"/>
        <v>630</v>
      </c>
      <c r="F22" s="32"/>
      <c r="G22" s="31">
        <v>3389</v>
      </c>
      <c r="H22" s="31">
        <v>1317</v>
      </c>
      <c r="I22" s="31">
        <f t="shared" si="1"/>
        <v>2072</v>
      </c>
      <c r="K22" s="31"/>
      <c r="L22" s="47">
        <v>0</v>
      </c>
    </row>
    <row r="23" spans="1:12">
      <c r="A23" s="34">
        <v>46163</v>
      </c>
      <c r="B23" s="31">
        <v>16</v>
      </c>
      <c r="C23" s="31">
        <v>12750</v>
      </c>
      <c r="D23" s="31">
        <v>5780</v>
      </c>
      <c r="E23" s="31">
        <f t="shared" si="0"/>
        <v>6970</v>
      </c>
      <c r="F23" s="32"/>
      <c r="G23" s="31">
        <v>4728</v>
      </c>
      <c r="H23" s="31">
        <v>2115</v>
      </c>
      <c r="I23" s="31">
        <f t="shared" si="1"/>
        <v>2613</v>
      </c>
      <c r="K23" s="31"/>
      <c r="L23" s="47">
        <v>0</v>
      </c>
    </row>
    <row r="24" spans="1:12">
      <c r="A24" s="34">
        <v>46164</v>
      </c>
      <c r="B24" s="31">
        <v>7</v>
      </c>
      <c r="C24" s="31">
        <v>4750</v>
      </c>
      <c r="D24" s="31">
        <v>2300</v>
      </c>
      <c r="E24" s="31">
        <f t="shared" si="0"/>
        <v>2450</v>
      </c>
      <c r="F24" s="32"/>
      <c r="G24" s="31">
        <v>3960</v>
      </c>
      <c r="H24" s="31">
        <v>1726</v>
      </c>
      <c r="I24" s="31">
        <f t="shared" si="1"/>
        <v>2234</v>
      </c>
      <c r="K24" s="54" t="s">
        <v>108</v>
      </c>
      <c r="L24" s="47">
        <v>58576</v>
      </c>
    </row>
    <row r="25" spans="1:12">
      <c r="A25" s="34">
        <v>46165</v>
      </c>
      <c r="B25" s="31">
        <v>7</v>
      </c>
      <c r="C25" s="31">
        <v>2480</v>
      </c>
      <c r="D25" s="31">
        <v>1070</v>
      </c>
      <c r="E25" s="31">
        <f t="shared" si="0"/>
        <v>1410</v>
      </c>
      <c r="F25" s="32"/>
      <c r="G25" s="31">
        <v>4789</v>
      </c>
      <c r="H25" s="31">
        <v>2097</v>
      </c>
      <c r="I25" s="31">
        <f t="shared" si="1"/>
        <v>2692</v>
      </c>
      <c r="K25" s="31"/>
      <c r="L25" s="47">
        <v>0</v>
      </c>
    </row>
    <row r="26" spans="1:12">
      <c r="A26" s="34">
        <v>46166</v>
      </c>
      <c r="B26" s="31"/>
      <c r="C26" s="31"/>
      <c r="D26" s="31"/>
      <c r="E26" s="31">
        <f t="shared" si="0"/>
        <v>0</v>
      </c>
      <c r="F26" s="32"/>
      <c r="G26" s="31"/>
      <c r="H26" s="31"/>
      <c r="I26" s="31">
        <f t="shared" si="1"/>
        <v>0</v>
      </c>
      <c r="K26" s="31"/>
      <c r="L26" s="47">
        <v>0</v>
      </c>
    </row>
    <row r="27" spans="1:12">
      <c r="A27" s="34">
        <v>46167</v>
      </c>
      <c r="B27" s="31"/>
      <c r="C27" s="31"/>
      <c r="D27" s="31"/>
      <c r="E27" s="31">
        <f t="shared" si="0"/>
        <v>0</v>
      </c>
      <c r="F27" s="32"/>
      <c r="G27" s="31"/>
      <c r="H27" s="31"/>
      <c r="I27" s="31">
        <f t="shared" si="1"/>
        <v>0</v>
      </c>
      <c r="K27" s="31"/>
      <c r="L27" s="47">
        <v>0</v>
      </c>
    </row>
    <row r="28" spans="1:12">
      <c r="A28" s="34">
        <v>46168</v>
      </c>
      <c r="B28" s="31"/>
      <c r="C28" s="31"/>
      <c r="D28" s="31"/>
      <c r="E28" s="31">
        <f t="shared" si="0"/>
        <v>0</v>
      </c>
      <c r="F28" s="32"/>
      <c r="G28" s="31"/>
      <c r="H28" s="31"/>
      <c r="I28" s="31">
        <f t="shared" si="1"/>
        <v>0</v>
      </c>
      <c r="K28" s="31"/>
      <c r="L28" s="47">
        <v>0</v>
      </c>
    </row>
    <row r="29" spans="1:12">
      <c r="A29" s="34">
        <v>46169</v>
      </c>
      <c r="B29" s="31"/>
      <c r="C29" s="31"/>
      <c r="D29" s="31"/>
      <c r="E29" s="31">
        <f t="shared" si="0"/>
        <v>0</v>
      </c>
      <c r="F29" s="32"/>
      <c r="G29" s="31"/>
      <c r="H29" s="31"/>
      <c r="I29" s="31">
        <f t="shared" si="1"/>
        <v>0</v>
      </c>
      <c r="K29" s="31"/>
      <c r="L29" s="47">
        <v>0</v>
      </c>
    </row>
    <row r="30" spans="1:12">
      <c r="A30" s="34">
        <v>46170</v>
      </c>
      <c r="B30" s="31"/>
      <c r="C30" s="31"/>
      <c r="D30" s="31"/>
      <c r="E30" s="31">
        <f t="shared" si="0"/>
        <v>0</v>
      </c>
      <c r="F30" s="32"/>
      <c r="G30" s="31"/>
      <c r="H30" s="31"/>
      <c r="I30" s="31">
        <f t="shared" si="1"/>
        <v>0</v>
      </c>
      <c r="K30" s="31"/>
      <c r="L30" s="47">
        <v>0</v>
      </c>
    </row>
    <row r="31" spans="1:12">
      <c r="A31" s="34">
        <v>46171</v>
      </c>
      <c r="B31" s="31"/>
      <c r="C31" s="31"/>
      <c r="D31" s="31"/>
      <c r="E31" s="31">
        <f t="shared" si="0"/>
        <v>0</v>
      </c>
      <c r="F31" s="32"/>
      <c r="G31" s="31"/>
      <c r="H31" s="31"/>
      <c r="I31" s="31">
        <f t="shared" si="1"/>
        <v>0</v>
      </c>
      <c r="K31" s="31"/>
      <c r="L31" s="47">
        <v>0</v>
      </c>
    </row>
    <row r="32" spans="1:12">
      <c r="A32" s="34">
        <v>46172</v>
      </c>
      <c r="B32" s="31"/>
      <c r="C32" s="31"/>
      <c r="D32" s="31"/>
      <c r="E32" s="31">
        <f t="shared" si="0"/>
        <v>0</v>
      </c>
      <c r="F32" s="32"/>
      <c r="G32" s="31"/>
      <c r="H32" s="31"/>
      <c r="I32" s="31">
        <f t="shared" si="1"/>
        <v>0</v>
      </c>
      <c r="K32" s="31"/>
      <c r="L32" s="47">
        <v>0</v>
      </c>
    </row>
    <row r="33" spans="1:12">
      <c r="A33" s="34">
        <v>46173</v>
      </c>
      <c r="B33" s="31"/>
      <c r="C33" s="31"/>
      <c r="D33" s="31"/>
      <c r="E33" s="31">
        <f t="shared" si="0"/>
        <v>0</v>
      </c>
      <c r="F33" s="32"/>
      <c r="G33" s="31"/>
      <c r="H33" s="31"/>
      <c r="I33" s="31">
        <f t="shared" si="1"/>
        <v>0</v>
      </c>
      <c r="K33" s="31"/>
      <c r="L33" s="47">
        <v>0</v>
      </c>
    </row>
    <row r="34" spans="1:12">
      <c r="A34" s="35" t="s">
        <v>1</v>
      </c>
      <c r="B34" s="32">
        <f>SUM(B11:B33)</f>
        <v>110</v>
      </c>
      <c r="C34" s="32">
        <f>SUM(C11:C33)</f>
        <v>74490</v>
      </c>
      <c r="D34" s="32">
        <f>SUM(D11:D33)</f>
        <v>35165</v>
      </c>
      <c r="E34" s="48">
        <f>SUM(E11:E33)</f>
        <v>39325</v>
      </c>
      <c r="F34" s="32"/>
      <c r="G34" s="48">
        <f>SUM(G11:G33)</f>
        <v>64417</v>
      </c>
      <c r="H34" s="32">
        <f>SUM(H11:H33)</f>
        <v>25532</v>
      </c>
      <c r="I34" s="48">
        <f>SUM(I11:I33)</f>
        <v>38885</v>
      </c>
      <c r="K34" s="48"/>
      <c r="L34" s="48">
        <f>SUM(L3:L33)</f>
        <v>58576</v>
      </c>
    </row>
    <row r="35" spans="1:12">
      <c r="E35" s="58"/>
      <c r="I35" s="58"/>
    </row>
  </sheetData>
  <mergeCells count="2">
    <mergeCell ref="A1:I1"/>
    <mergeCell ref="K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4"/>
  <sheetViews>
    <sheetView topLeftCell="A7" workbookViewId="0">
      <selection activeCell="K28" sqref="K28"/>
    </sheetView>
  </sheetViews>
  <sheetFormatPr defaultRowHeight="15"/>
  <cols>
    <col min="1" max="1" width="10.140625" bestFit="1" customWidth="1"/>
    <col min="2" max="2" width="12.5703125" customWidth="1"/>
    <col min="4" max="4" width="12.5703125" bestFit="1" customWidth="1"/>
    <col min="5" max="5" width="14.28515625" bestFit="1" customWidth="1"/>
    <col min="6" max="6" width="9.5703125" bestFit="1" customWidth="1"/>
    <col min="7" max="7" width="11.140625" bestFit="1" customWidth="1"/>
    <col min="8" max="8" width="9.5703125" customWidth="1"/>
    <col min="9" max="9" width="4.5703125" customWidth="1"/>
    <col min="10" max="10" width="19.85546875" bestFit="1" customWidth="1"/>
    <col min="11" max="11" width="23.5703125" bestFit="1" customWidth="1"/>
    <col min="12" max="12" width="20" bestFit="1" customWidth="1"/>
    <col min="13" max="13" width="21.42578125" bestFit="1" customWidth="1"/>
  </cols>
  <sheetData>
    <row r="1" spans="1:14" ht="26.25">
      <c r="A1" s="147" t="s">
        <v>71</v>
      </c>
      <c r="B1" s="148"/>
      <c r="C1" s="148"/>
      <c r="D1" s="148"/>
      <c r="E1" s="148"/>
      <c r="F1" s="148"/>
      <c r="G1" s="148"/>
      <c r="H1" s="148"/>
      <c r="J1" s="149" t="s">
        <v>5</v>
      </c>
      <c r="K1" s="149"/>
      <c r="L1" s="149"/>
      <c r="M1" s="149"/>
      <c r="N1" s="149"/>
    </row>
    <row r="2" spans="1:14" ht="18.75">
      <c r="A2" s="43" t="s">
        <v>37</v>
      </c>
      <c r="B2" s="43" t="s">
        <v>55</v>
      </c>
      <c r="C2" s="43" t="s">
        <v>56</v>
      </c>
      <c r="D2" s="43" t="s">
        <v>55</v>
      </c>
      <c r="E2" s="43" t="s">
        <v>57</v>
      </c>
      <c r="F2" s="43" t="s">
        <v>55</v>
      </c>
      <c r="G2" s="43" t="s">
        <v>58</v>
      </c>
      <c r="H2" s="43" t="s">
        <v>1</v>
      </c>
      <c r="J2" s="43" t="s">
        <v>55</v>
      </c>
      <c r="K2" s="43" t="s">
        <v>70</v>
      </c>
      <c r="L2" s="43" t="s">
        <v>55</v>
      </c>
      <c r="M2" s="43" t="s">
        <v>59</v>
      </c>
      <c r="N2" s="43" t="s">
        <v>60</v>
      </c>
    </row>
    <row r="3" spans="1:14">
      <c r="A3" s="45">
        <v>46143</v>
      </c>
      <c r="B3" s="42">
        <v>0</v>
      </c>
      <c r="C3" s="42">
        <v>0</v>
      </c>
      <c r="D3" s="42"/>
      <c r="E3" s="42">
        <v>0</v>
      </c>
      <c r="F3" s="42"/>
      <c r="G3" s="42">
        <v>0</v>
      </c>
      <c r="H3" s="44">
        <f>C3+E3+G3</f>
        <v>0</v>
      </c>
      <c r="J3" s="42"/>
      <c r="K3" s="42">
        <v>0</v>
      </c>
      <c r="L3" s="42"/>
      <c r="M3" s="42">
        <v>0</v>
      </c>
      <c r="N3" s="42">
        <f t="shared" ref="N3:N34" si="0">K3+M3</f>
        <v>0</v>
      </c>
    </row>
    <row r="4" spans="1:14">
      <c r="A4" s="45">
        <v>46144</v>
      </c>
      <c r="B4" s="42"/>
      <c r="C4" s="42"/>
      <c r="D4" s="42"/>
      <c r="E4" s="42"/>
      <c r="F4" s="42"/>
      <c r="G4" s="42"/>
      <c r="H4" s="44">
        <f t="shared" ref="H4:H34" si="1">C4+E4+G4</f>
        <v>0</v>
      </c>
      <c r="J4" s="42"/>
      <c r="K4" s="42"/>
      <c r="L4" s="42"/>
      <c r="M4" s="42"/>
      <c r="N4" s="42">
        <f t="shared" si="0"/>
        <v>0</v>
      </c>
    </row>
    <row r="5" spans="1:14">
      <c r="A5" s="45">
        <v>46145</v>
      </c>
      <c r="B5" s="42"/>
      <c r="C5" s="42"/>
      <c r="D5" s="42"/>
      <c r="E5" s="42"/>
      <c r="F5" s="42"/>
      <c r="G5" s="42"/>
      <c r="H5" s="44">
        <f t="shared" si="1"/>
        <v>0</v>
      </c>
      <c r="J5" s="42"/>
      <c r="K5" s="42"/>
      <c r="L5" s="42"/>
      <c r="M5" s="42"/>
      <c r="N5" s="42">
        <f t="shared" si="0"/>
        <v>0</v>
      </c>
    </row>
    <row r="6" spans="1:14">
      <c r="A6" s="45">
        <v>46146</v>
      </c>
      <c r="B6" s="42"/>
      <c r="C6" s="42"/>
      <c r="D6" s="42"/>
      <c r="E6" s="42"/>
      <c r="F6" s="42"/>
      <c r="G6" s="42"/>
      <c r="H6" s="44">
        <f t="shared" si="1"/>
        <v>0</v>
      </c>
      <c r="J6" s="42"/>
      <c r="K6" s="42"/>
      <c r="L6" s="42"/>
      <c r="M6" s="42"/>
      <c r="N6" s="42">
        <f t="shared" si="0"/>
        <v>0</v>
      </c>
    </row>
    <row r="7" spans="1:14">
      <c r="A7" s="45">
        <v>46147</v>
      </c>
      <c r="B7" s="42"/>
      <c r="C7" s="42"/>
      <c r="D7" s="42"/>
      <c r="E7" s="42"/>
      <c r="F7" s="42"/>
      <c r="G7" s="42"/>
      <c r="H7" s="44">
        <f t="shared" si="1"/>
        <v>0</v>
      </c>
      <c r="J7" s="42"/>
      <c r="K7" s="42"/>
      <c r="L7" s="42"/>
      <c r="M7" s="42"/>
      <c r="N7" s="42">
        <f t="shared" si="0"/>
        <v>0</v>
      </c>
    </row>
    <row r="8" spans="1:14">
      <c r="A8" s="45">
        <v>46148</v>
      </c>
      <c r="B8" s="42"/>
      <c r="C8" s="42"/>
      <c r="D8" s="42"/>
      <c r="E8" s="42"/>
      <c r="F8" s="42"/>
      <c r="G8" s="42"/>
      <c r="H8" s="44">
        <f t="shared" si="1"/>
        <v>0</v>
      </c>
      <c r="J8" s="42"/>
      <c r="K8" s="42"/>
      <c r="L8" s="42"/>
      <c r="M8" s="42"/>
      <c r="N8" s="42">
        <f t="shared" si="0"/>
        <v>0</v>
      </c>
    </row>
    <row r="9" spans="1:14">
      <c r="A9" s="45">
        <v>46149</v>
      </c>
      <c r="B9" s="42"/>
      <c r="C9" s="42"/>
      <c r="D9" s="42"/>
      <c r="E9" s="42"/>
      <c r="F9" s="42"/>
      <c r="G9" s="42"/>
      <c r="H9" s="44">
        <f t="shared" si="1"/>
        <v>0</v>
      </c>
      <c r="J9" s="42"/>
      <c r="K9" s="42"/>
      <c r="L9" s="42"/>
      <c r="M9" s="42"/>
      <c r="N9" s="42">
        <f t="shared" si="0"/>
        <v>0</v>
      </c>
    </row>
    <row r="10" spans="1:14">
      <c r="A10" s="45">
        <v>46150</v>
      </c>
      <c r="B10" s="42"/>
      <c r="C10" s="42"/>
      <c r="D10" s="42"/>
      <c r="E10" s="42"/>
      <c r="F10" s="42"/>
      <c r="G10" s="42"/>
      <c r="H10" s="44">
        <f t="shared" si="1"/>
        <v>0</v>
      </c>
      <c r="J10" s="42"/>
      <c r="K10" s="42"/>
      <c r="L10" s="42"/>
      <c r="M10" s="42"/>
      <c r="N10" s="42">
        <f t="shared" si="0"/>
        <v>0</v>
      </c>
    </row>
    <row r="11" spans="1:14">
      <c r="A11" s="45">
        <v>46151</v>
      </c>
      <c r="B11" s="42" t="s">
        <v>61</v>
      </c>
      <c r="C11" s="42">
        <v>130</v>
      </c>
      <c r="D11" s="42" t="s">
        <v>62</v>
      </c>
      <c r="E11" s="42">
        <v>50</v>
      </c>
      <c r="F11" s="42"/>
      <c r="G11" s="42"/>
      <c r="H11" s="44">
        <f t="shared" si="1"/>
        <v>180</v>
      </c>
      <c r="J11" s="42"/>
      <c r="K11" s="42"/>
      <c r="L11" s="42"/>
      <c r="M11" s="42"/>
      <c r="N11" s="42">
        <f t="shared" si="0"/>
        <v>0</v>
      </c>
    </row>
    <row r="12" spans="1:14">
      <c r="A12" s="45">
        <v>46152</v>
      </c>
      <c r="B12" s="42"/>
      <c r="C12" s="42"/>
      <c r="D12" s="42" t="s">
        <v>63</v>
      </c>
      <c r="E12" s="42">
        <v>40</v>
      </c>
      <c r="F12" s="42"/>
      <c r="G12" s="42"/>
      <c r="H12" s="44">
        <f t="shared" si="1"/>
        <v>40</v>
      </c>
      <c r="J12" s="42"/>
      <c r="K12" s="42"/>
      <c r="L12" s="42"/>
      <c r="M12" s="42"/>
      <c r="N12" s="42">
        <f t="shared" si="0"/>
        <v>0</v>
      </c>
    </row>
    <row r="13" spans="1:14">
      <c r="A13" s="45">
        <v>46153</v>
      </c>
      <c r="B13" s="42"/>
      <c r="C13" s="42"/>
      <c r="D13" s="42" t="s">
        <v>64</v>
      </c>
      <c r="E13" s="42">
        <v>80</v>
      </c>
      <c r="F13" s="42"/>
      <c r="G13" s="42"/>
      <c r="H13" s="44">
        <f t="shared" si="1"/>
        <v>80</v>
      </c>
      <c r="J13" s="42" t="s">
        <v>65</v>
      </c>
      <c r="K13" s="42">
        <v>65</v>
      </c>
      <c r="L13" s="42"/>
      <c r="M13" s="42"/>
      <c r="N13" s="42">
        <f t="shared" si="0"/>
        <v>65</v>
      </c>
    </row>
    <row r="14" spans="1:14">
      <c r="A14" s="45">
        <v>46154</v>
      </c>
      <c r="B14" s="42"/>
      <c r="C14" s="42"/>
      <c r="D14" s="42" t="s">
        <v>66</v>
      </c>
      <c r="E14" s="42">
        <v>130</v>
      </c>
      <c r="F14" s="42"/>
      <c r="G14" s="42"/>
      <c r="H14" s="44">
        <f t="shared" si="1"/>
        <v>130</v>
      </c>
      <c r="J14" s="42" t="s">
        <v>67</v>
      </c>
      <c r="K14" s="42">
        <v>15</v>
      </c>
      <c r="L14" s="42"/>
      <c r="M14" s="42"/>
      <c r="N14" s="42">
        <f t="shared" si="0"/>
        <v>15</v>
      </c>
    </row>
    <row r="15" spans="1:14">
      <c r="A15" s="45">
        <v>46155</v>
      </c>
      <c r="B15" s="42" t="s">
        <v>61</v>
      </c>
      <c r="C15" s="42">
        <v>30</v>
      </c>
      <c r="D15" s="42" t="s">
        <v>68</v>
      </c>
      <c r="E15" s="42">
        <v>70</v>
      </c>
      <c r="F15" s="42"/>
      <c r="G15" s="42"/>
      <c r="H15" s="44">
        <f t="shared" si="1"/>
        <v>100</v>
      </c>
      <c r="J15" s="42"/>
      <c r="K15" s="42"/>
      <c r="L15" s="42"/>
      <c r="M15" s="42"/>
      <c r="N15" s="42">
        <f t="shared" si="0"/>
        <v>0</v>
      </c>
    </row>
    <row r="16" spans="1:14">
      <c r="A16" s="45">
        <v>46156</v>
      </c>
      <c r="B16" s="42"/>
      <c r="C16" s="42"/>
      <c r="D16" s="42" t="s">
        <v>69</v>
      </c>
      <c r="E16" s="42">
        <v>30</v>
      </c>
      <c r="F16" s="42"/>
      <c r="G16" s="42"/>
      <c r="H16" s="44">
        <f t="shared" si="1"/>
        <v>30</v>
      </c>
      <c r="J16" s="42"/>
      <c r="K16" s="42"/>
      <c r="L16" s="42"/>
      <c r="M16" s="42"/>
      <c r="N16" s="42">
        <f t="shared" si="0"/>
        <v>0</v>
      </c>
    </row>
    <row r="17" spans="1:14">
      <c r="A17" s="45">
        <v>46157</v>
      </c>
      <c r="B17" s="42"/>
      <c r="C17" s="42"/>
      <c r="D17" s="42"/>
      <c r="E17" s="42"/>
      <c r="F17" s="42"/>
      <c r="G17" s="42"/>
      <c r="H17" s="44">
        <f t="shared" si="1"/>
        <v>0</v>
      </c>
      <c r="J17" s="42"/>
      <c r="K17" s="42"/>
      <c r="L17" s="42"/>
      <c r="M17" s="42"/>
      <c r="N17" s="42">
        <f t="shared" si="0"/>
        <v>0</v>
      </c>
    </row>
    <row r="18" spans="1:14">
      <c r="A18" s="45">
        <v>46158</v>
      </c>
      <c r="B18" s="42"/>
      <c r="C18" s="42"/>
      <c r="D18" s="42"/>
      <c r="E18" s="42"/>
      <c r="F18" s="42"/>
      <c r="G18" s="42"/>
      <c r="H18" s="44">
        <f t="shared" si="1"/>
        <v>0</v>
      </c>
      <c r="J18" s="42"/>
      <c r="K18" s="42"/>
      <c r="L18" s="42"/>
      <c r="M18" s="42"/>
      <c r="N18" s="42">
        <f t="shared" si="0"/>
        <v>0</v>
      </c>
    </row>
    <row r="19" spans="1:14">
      <c r="A19" s="45">
        <v>46159</v>
      </c>
      <c r="B19" s="42"/>
      <c r="C19" s="42"/>
      <c r="D19" s="42" t="s">
        <v>63</v>
      </c>
      <c r="E19" s="42">
        <v>40</v>
      </c>
      <c r="F19" s="42"/>
      <c r="G19" s="42"/>
      <c r="H19" s="44">
        <f t="shared" si="1"/>
        <v>40</v>
      </c>
      <c r="J19" s="42"/>
      <c r="K19" s="42"/>
      <c r="L19" s="42"/>
      <c r="M19" s="42"/>
      <c r="N19" s="42">
        <f t="shared" si="0"/>
        <v>0</v>
      </c>
    </row>
    <row r="20" spans="1:14">
      <c r="A20" s="45">
        <v>46160</v>
      </c>
      <c r="B20" s="42" t="s">
        <v>91</v>
      </c>
      <c r="C20" s="42">
        <v>189</v>
      </c>
      <c r="D20" s="42" t="s">
        <v>92</v>
      </c>
      <c r="E20" s="42">
        <v>50</v>
      </c>
      <c r="F20" s="42"/>
      <c r="G20" s="42"/>
      <c r="H20" s="44">
        <f t="shared" si="1"/>
        <v>239</v>
      </c>
      <c r="J20" s="42"/>
      <c r="K20" s="42"/>
      <c r="L20" s="42"/>
      <c r="M20" s="42"/>
      <c r="N20" s="42">
        <f t="shared" si="0"/>
        <v>0</v>
      </c>
    </row>
    <row r="21" spans="1:14">
      <c r="A21" s="45">
        <v>46161</v>
      </c>
      <c r="B21" s="42"/>
      <c r="C21" s="42"/>
      <c r="D21" s="42" t="s">
        <v>66</v>
      </c>
      <c r="E21" s="42">
        <v>60</v>
      </c>
      <c r="F21" s="42"/>
      <c r="G21" s="42"/>
      <c r="H21" s="44">
        <f t="shared" si="1"/>
        <v>60</v>
      </c>
      <c r="J21" s="42"/>
      <c r="K21" s="42"/>
      <c r="L21" s="42"/>
      <c r="M21" s="42"/>
      <c r="N21" s="42">
        <f t="shared" si="0"/>
        <v>0</v>
      </c>
    </row>
    <row r="22" spans="1:14">
      <c r="A22" s="45">
        <v>46162</v>
      </c>
      <c r="B22" s="42"/>
      <c r="C22" s="42"/>
      <c r="D22" s="42" t="s">
        <v>101</v>
      </c>
      <c r="E22" s="42">
        <v>60</v>
      </c>
      <c r="F22" s="42"/>
      <c r="G22" s="42"/>
      <c r="H22" s="44">
        <f t="shared" si="1"/>
        <v>60</v>
      </c>
      <c r="J22" s="42"/>
      <c r="K22" s="42"/>
      <c r="L22" s="42"/>
      <c r="M22" s="42"/>
      <c r="N22" s="42">
        <f t="shared" si="0"/>
        <v>0</v>
      </c>
    </row>
    <row r="23" spans="1:14">
      <c r="A23" s="45">
        <v>46163</v>
      </c>
      <c r="B23" s="42"/>
      <c r="C23" s="42"/>
      <c r="D23" s="42" t="s">
        <v>102</v>
      </c>
      <c r="E23" s="42">
        <v>40</v>
      </c>
      <c r="F23" s="42"/>
      <c r="G23" s="42"/>
      <c r="H23" s="44">
        <f t="shared" si="1"/>
        <v>40</v>
      </c>
      <c r="J23" s="42"/>
      <c r="K23" s="42"/>
      <c r="L23" s="42"/>
      <c r="M23" s="42"/>
      <c r="N23" s="42">
        <f t="shared" si="0"/>
        <v>0</v>
      </c>
    </row>
    <row r="24" spans="1:14">
      <c r="A24" s="45">
        <v>46164</v>
      </c>
      <c r="B24" s="42"/>
      <c r="C24" s="42"/>
      <c r="D24" s="42" t="s">
        <v>101</v>
      </c>
      <c r="E24" s="42">
        <v>60</v>
      </c>
      <c r="F24" s="42"/>
      <c r="G24" s="42"/>
      <c r="H24" s="44">
        <f t="shared" si="1"/>
        <v>60</v>
      </c>
      <c r="J24" s="42" t="s">
        <v>110</v>
      </c>
      <c r="K24" s="42">
        <v>60</v>
      </c>
      <c r="L24" s="42"/>
      <c r="M24" s="42"/>
      <c r="N24" s="42">
        <f t="shared" si="0"/>
        <v>60</v>
      </c>
    </row>
    <row r="25" spans="1:14">
      <c r="A25" s="45">
        <v>46165</v>
      </c>
      <c r="B25" s="42"/>
      <c r="C25" s="42"/>
      <c r="D25" s="42" t="s">
        <v>109</v>
      </c>
      <c r="E25" s="42">
        <v>80</v>
      </c>
      <c r="F25" s="42"/>
      <c r="G25" s="42"/>
      <c r="H25" s="44">
        <f t="shared" si="1"/>
        <v>80</v>
      </c>
      <c r="J25" s="42"/>
      <c r="K25" s="42"/>
      <c r="L25" s="42"/>
      <c r="M25" s="42"/>
      <c r="N25" s="42">
        <f t="shared" si="0"/>
        <v>0</v>
      </c>
    </row>
    <row r="26" spans="1:14">
      <c r="A26" s="45">
        <v>46166</v>
      </c>
      <c r="B26" s="42"/>
      <c r="C26" s="42"/>
      <c r="D26" s="42"/>
      <c r="E26" s="42"/>
      <c r="F26" s="42"/>
      <c r="G26" s="42"/>
      <c r="H26" s="44">
        <f t="shared" si="1"/>
        <v>0</v>
      </c>
      <c r="J26" s="42"/>
      <c r="K26" s="42"/>
      <c r="L26" s="42"/>
      <c r="M26" s="42"/>
      <c r="N26" s="42">
        <f t="shared" si="0"/>
        <v>0</v>
      </c>
    </row>
    <row r="27" spans="1:14">
      <c r="A27" s="45">
        <v>46167</v>
      </c>
      <c r="B27" s="42"/>
      <c r="C27" s="42"/>
      <c r="D27" s="42"/>
      <c r="E27" s="42"/>
      <c r="F27" s="42"/>
      <c r="G27" s="42"/>
      <c r="H27" s="44">
        <f t="shared" si="1"/>
        <v>0</v>
      </c>
      <c r="J27" s="42"/>
      <c r="K27" s="42"/>
      <c r="L27" s="42"/>
      <c r="M27" s="42"/>
      <c r="N27" s="42">
        <f t="shared" si="0"/>
        <v>0</v>
      </c>
    </row>
    <row r="28" spans="1:14">
      <c r="A28" s="45">
        <v>46168</v>
      </c>
      <c r="B28" s="42"/>
      <c r="C28" s="42"/>
      <c r="D28" s="42"/>
      <c r="E28" s="42"/>
      <c r="F28" s="42"/>
      <c r="G28" s="42"/>
      <c r="H28" s="44">
        <f t="shared" si="1"/>
        <v>0</v>
      </c>
      <c r="J28" s="42"/>
      <c r="K28" s="42"/>
      <c r="L28" s="42"/>
      <c r="M28" s="42"/>
      <c r="N28" s="42">
        <f t="shared" si="0"/>
        <v>0</v>
      </c>
    </row>
    <row r="29" spans="1:14">
      <c r="A29" s="45">
        <v>46169</v>
      </c>
      <c r="B29" s="42"/>
      <c r="C29" s="42"/>
      <c r="D29" s="42"/>
      <c r="E29" s="42"/>
      <c r="F29" s="42"/>
      <c r="G29" s="42"/>
      <c r="H29" s="44">
        <f t="shared" si="1"/>
        <v>0</v>
      </c>
      <c r="J29" s="42"/>
      <c r="K29" s="42"/>
      <c r="L29" s="42"/>
      <c r="M29" s="42"/>
      <c r="N29" s="42">
        <f t="shared" si="0"/>
        <v>0</v>
      </c>
    </row>
    <row r="30" spans="1:14">
      <c r="A30" s="45">
        <v>46170</v>
      </c>
      <c r="B30" s="42"/>
      <c r="C30" s="42"/>
      <c r="D30" s="42"/>
      <c r="E30" s="42"/>
      <c r="F30" s="42"/>
      <c r="G30" s="42"/>
      <c r="H30" s="44">
        <f t="shared" si="1"/>
        <v>0</v>
      </c>
      <c r="J30" s="42"/>
      <c r="K30" s="42"/>
      <c r="L30" s="42"/>
      <c r="M30" s="42"/>
      <c r="N30" s="42">
        <f t="shared" si="0"/>
        <v>0</v>
      </c>
    </row>
    <row r="31" spans="1:14">
      <c r="A31" s="45">
        <v>46171</v>
      </c>
      <c r="B31" s="42"/>
      <c r="C31" s="42"/>
      <c r="D31" s="42"/>
      <c r="E31" s="42"/>
      <c r="F31" s="42"/>
      <c r="G31" s="42"/>
      <c r="H31" s="44">
        <f t="shared" si="1"/>
        <v>0</v>
      </c>
      <c r="J31" s="42"/>
      <c r="K31" s="42"/>
      <c r="L31" s="42"/>
      <c r="M31" s="42"/>
      <c r="N31" s="42">
        <f t="shared" si="0"/>
        <v>0</v>
      </c>
    </row>
    <row r="32" spans="1:14">
      <c r="A32" s="45">
        <v>46172</v>
      </c>
      <c r="B32" s="42"/>
      <c r="C32" s="42"/>
      <c r="D32" s="42"/>
      <c r="E32" s="42"/>
      <c r="F32" s="42"/>
      <c r="G32" s="42"/>
      <c r="H32" s="44">
        <f t="shared" si="1"/>
        <v>0</v>
      </c>
      <c r="J32" s="42"/>
      <c r="K32" s="42"/>
      <c r="L32" s="42"/>
      <c r="M32" s="42"/>
      <c r="N32" s="42">
        <f t="shared" si="0"/>
        <v>0</v>
      </c>
    </row>
    <row r="33" spans="1:14">
      <c r="A33" s="45">
        <v>46173</v>
      </c>
      <c r="B33" s="42"/>
      <c r="C33" s="42"/>
      <c r="D33" s="42"/>
      <c r="E33" s="42"/>
      <c r="F33" s="42"/>
      <c r="G33" s="42"/>
      <c r="H33" s="44">
        <f t="shared" si="1"/>
        <v>0</v>
      </c>
      <c r="J33" s="42"/>
      <c r="K33" s="42"/>
      <c r="L33" s="42"/>
      <c r="M33" s="42"/>
      <c r="N33" s="42">
        <f t="shared" si="0"/>
        <v>0</v>
      </c>
    </row>
    <row r="34" spans="1:14">
      <c r="A34" s="45" t="s">
        <v>1</v>
      </c>
      <c r="B34" s="46">
        <v>0</v>
      </c>
      <c r="C34" s="46">
        <f>SUM(C3:C33)</f>
        <v>349</v>
      </c>
      <c r="D34" s="46"/>
      <c r="E34" s="46">
        <f>SUM(E3:E33)</f>
        <v>790</v>
      </c>
      <c r="F34" s="46"/>
      <c r="G34" s="46">
        <v>0</v>
      </c>
      <c r="H34" s="44">
        <f t="shared" si="1"/>
        <v>1139</v>
      </c>
      <c r="J34" s="46"/>
      <c r="K34" s="46">
        <v>80</v>
      </c>
      <c r="L34" s="46"/>
      <c r="M34" s="46">
        <v>0</v>
      </c>
      <c r="N34" s="49">
        <f t="shared" si="0"/>
        <v>80</v>
      </c>
    </row>
  </sheetData>
  <mergeCells count="2">
    <mergeCell ref="A1:H1"/>
    <mergeCell ref="J1:N1"/>
  </mergeCells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>
      <selection activeCell="H29" sqref="H29"/>
    </sheetView>
  </sheetViews>
  <sheetFormatPr defaultRowHeight="15"/>
  <cols>
    <col min="1" max="1" width="10.140625" style="50" bestFit="1" customWidth="1"/>
    <col min="2" max="2" width="16.7109375" bestFit="1" customWidth="1"/>
    <col min="3" max="3" width="9.5703125" customWidth="1"/>
    <col min="4" max="4" width="11.140625" customWidth="1"/>
    <col min="5" max="5" width="7.85546875" style="50" customWidth="1"/>
    <col min="6" max="6" width="2.5703125" style="50" customWidth="1"/>
    <col min="7" max="7" width="12.7109375" customWidth="1"/>
    <col min="8" max="9" width="12" bestFit="1" customWidth="1"/>
    <col min="10" max="10" width="2.42578125" customWidth="1"/>
    <col min="11" max="11" width="10" bestFit="1" customWidth="1"/>
    <col min="13" max="13" width="13.140625" bestFit="1" customWidth="1"/>
    <col min="14" max="14" width="8.140625" customWidth="1"/>
    <col min="16" max="16" width="16.7109375" style="50" customWidth="1"/>
    <col min="17" max="17" width="7.5703125" customWidth="1"/>
  </cols>
  <sheetData>
    <row r="1" spans="1:19" ht="21">
      <c r="A1" s="156" t="s">
        <v>77</v>
      </c>
      <c r="B1" s="157"/>
      <c r="C1" s="157"/>
      <c r="D1" s="157"/>
      <c r="E1" s="158"/>
      <c r="F1" s="59"/>
      <c r="G1" s="150" t="s">
        <v>84</v>
      </c>
      <c r="H1" s="150"/>
      <c r="I1" s="150"/>
      <c r="J1" s="59"/>
      <c r="K1" s="151" t="s">
        <v>3</v>
      </c>
      <c r="L1" s="152"/>
      <c r="M1" s="152"/>
      <c r="N1" s="152"/>
      <c r="O1" s="153"/>
      <c r="P1" s="92"/>
      <c r="Q1" s="154" t="s">
        <v>72</v>
      </c>
      <c r="R1" s="150"/>
      <c r="S1" s="155"/>
    </row>
    <row r="2" spans="1:19" ht="18.75">
      <c r="A2" s="56"/>
      <c r="B2" s="52" t="s">
        <v>78</v>
      </c>
      <c r="C2" s="52" t="s">
        <v>82</v>
      </c>
      <c r="D2" s="52" t="s">
        <v>83</v>
      </c>
      <c r="E2" s="52"/>
      <c r="F2" s="60"/>
      <c r="G2" s="60" t="s">
        <v>83</v>
      </c>
      <c r="H2" s="60" t="s">
        <v>85</v>
      </c>
      <c r="I2" s="60" t="s">
        <v>1</v>
      </c>
      <c r="J2" s="60"/>
      <c r="K2" s="56" t="s">
        <v>73</v>
      </c>
      <c r="L2" s="56" t="s">
        <v>74</v>
      </c>
      <c r="M2" s="56" t="s">
        <v>75</v>
      </c>
      <c r="N2" s="56" t="s">
        <v>76</v>
      </c>
      <c r="O2" s="51" t="s">
        <v>1</v>
      </c>
      <c r="P2" s="93" t="s">
        <v>96</v>
      </c>
      <c r="Q2" s="57" t="s">
        <v>76</v>
      </c>
      <c r="R2" s="57" t="s">
        <v>86</v>
      </c>
      <c r="S2" s="61" t="s">
        <v>1</v>
      </c>
    </row>
    <row r="3" spans="1:19">
      <c r="A3" s="52" t="s">
        <v>37</v>
      </c>
      <c r="B3" s="52" t="s">
        <v>79</v>
      </c>
      <c r="C3" s="52"/>
      <c r="D3" s="52"/>
      <c r="E3" s="52"/>
      <c r="F3" s="60"/>
      <c r="G3" s="52" t="s">
        <v>81</v>
      </c>
      <c r="H3" s="52" t="s">
        <v>80</v>
      </c>
      <c r="I3" s="52" t="s">
        <v>1</v>
      </c>
      <c r="J3" s="60"/>
      <c r="K3" s="52" t="s">
        <v>87</v>
      </c>
      <c r="L3" s="52"/>
      <c r="M3" s="52"/>
      <c r="N3" s="52"/>
      <c r="O3" s="52">
        <f>SUM(K3:N3)</f>
        <v>0</v>
      </c>
      <c r="P3" s="52"/>
      <c r="Q3" s="52">
        <v>0</v>
      </c>
      <c r="R3" s="52">
        <v>0</v>
      </c>
      <c r="S3" s="62">
        <f>Q3+R3</f>
        <v>0</v>
      </c>
    </row>
    <row r="4" spans="1:19">
      <c r="A4" s="53">
        <v>46143</v>
      </c>
      <c r="B4" s="54"/>
      <c r="C4" s="54"/>
      <c r="D4" s="54"/>
      <c r="E4" s="54"/>
      <c r="F4" s="63"/>
      <c r="G4" s="54"/>
      <c r="H4" s="54"/>
      <c r="I4" s="54"/>
      <c r="J4" s="63"/>
      <c r="K4" s="54">
        <v>0</v>
      </c>
      <c r="L4" s="54">
        <v>0</v>
      </c>
      <c r="M4" s="54">
        <v>0</v>
      </c>
      <c r="N4" s="54">
        <v>0</v>
      </c>
      <c r="O4" s="52">
        <f t="shared" ref="O4:O34" si="0">SUM(K4:N4)</f>
        <v>0</v>
      </c>
      <c r="P4" s="52"/>
      <c r="Q4" s="54"/>
      <c r="R4" s="54"/>
      <c r="S4" s="64">
        <f t="shared" ref="S4:S33" si="1">Q4+R4</f>
        <v>0</v>
      </c>
    </row>
    <row r="5" spans="1:19">
      <c r="A5" s="53">
        <v>46144</v>
      </c>
      <c r="B5" s="54"/>
      <c r="C5" s="54"/>
      <c r="D5" s="54"/>
      <c r="E5" s="54"/>
      <c r="F5" s="63"/>
      <c r="G5" s="54"/>
      <c r="H5" s="54"/>
      <c r="I5" s="54"/>
      <c r="J5" s="63"/>
      <c r="K5" s="54"/>
      <c r="L5" s="54"/>
      <c r="M5" s="54"/>
      <c r="N5" s="54"/>
      <c r="O5" s="52">
        <f t="shared" si="0"/>
        <v>0</v>
      </c>
      <c r="P5" s="52"/>
      <c r="Q5" s="54"/>
      <c r="R5" s="54"/>
      <c r="S5" s="64">
        <f t="shared" si="1"/>
        <v>0</v>
      </c>
    </row>
    <row r="6" spans="1:19">
      <c r="A6" s="53">
        <v>46145</v>
      </c>
      <c r="B6" s="54"/>
      <c r="C6" s="54"/>
      <c r="D6" s="54"/>
      <c r="E6" s="54"/>
      <c r="F6" s="63"/>
      <c r="G6" s="54"/>
      <c r="H6" s="54"/>
      <c r="I6" s="54"/>
      <c r="J6" s="63"/>
      <c r="K6" s="54"/>
      <c r="L6" s="54"/>
      <c r="M6" s="54"/>
      <c r="N6" s="54"/>
      <c r="O6" s="52">
        <f t="shared" si="0"/>
        <v>0</v>
      </c>
      <c r="P6" s="52"/>
      <c r="Q6" s="54"/>
      <c r="R6" s="54"/>
      <c r="S6" s="64">
        <f t="shared" si="1"/>
        <v>0</v>
      </c>
    </row>
    <row r="7" spans="1:19">
      <c r="A7" s="53">
        <v>46146</v>
      </c>
      <c r="B7" s="54"/>
      <c r="C7" s="54"/>
      <c r="D7" s="54"/>
      <c r="E7" s="54"/>
      <c r="F7" s="63"/>
      <c r="G7" s="54"/>
      <c r="H7" s="54"/>
      <c r="I7" s="54"/>
      <c r="J7" s="63"/>
      <c r="K7" s="54"/>
      <c r="L7" s="54"/>
      <c r="M7" s="54"/>
      <c r="N7" s="54"/>
      <c r="O7" s="52">
        <f t="shared" si="0"/>
        <v>0</v>
      </c>
      <c r="P7" s="52"/>
      <c r="Q7" s="54"/>
      <c r="R7" s="54"/>
      <c r="S7" s="64">
        <f t="shared" si="1"/>
        <v>0</v>
      </c>
    </row>
    <row r="8" spans="1:19">
      <c r="A8" s="53">
        <v>46147</v>
      </c>
      <c r="B8" s="54"/>
      <c r="C8" s="54"/>
      <c r="D8" s="54"/>
      <c r="E8" s="54"/>
      <c r="F8" s="63"/>
      <c r="G8" s="54"/>
      <c r="H8" s="54"/>
      <c r="I8" s="54"/>
      <c r="J8" s="63"/>
      <c r="K8" s="54"/>
      <c r="L8" s="54"/>
      <c r="M8" s="54"/>
      <c r="N8" s="54"/>
      <c r="O8" s="52">
        <f t="shared" si="0"/>
        <v>0</v>
      </c>
      <c r="P8" s="52"/>
      <c r="Q8" s="54"/>
      <c r="R8" s="54"/>
      <c r="S8" s="64">
        <f t="shared" si="1"/>
        <v>0</v>
      </c>
    </row>
    <row r="9" spans="1:19">
      <c r="A9" s="53">
        <v>46148</v>
      </c>
      <c r="B9" s="54"/>
      <c r="C9" s="54"/>
      <c r="D9" s="54"/>
      <c r="E9" s="54"/>
      <c r="F9" s="63"/>
      <c r="G9" s="54"/>
      <c r="H9" s="54"/>
      <c r="I9" s="54"/>
      <c r="J9" s="63"/>
      <c r="K9" s="54"/>
      <c r="L9" s="54"/>
      <c r="M9" s="54"/>
      <c r="N9" s="54"/>
      <c r="O9" s="52">
        <f t="shared" si="0"/>
        <v>0</v>
      </c>
      <c r="P9" s="52"/>
      <c r="Q9" s="54"/>
      <c r="R9" s="54"/>
      <c r="S9" s="64">
        <f t="shared" si="1"/>
        <v>0</v>
      </c>
    </row>
    <row r="10" spans="1:19">
      <c r="A10" s="53">
        <v>46149</v>
      </c>
      <c r="B10" s="54"/>
      <c r="C10" s="54"/>
      <c r="D10" s="54"/>
      <c r="E10" s="54"/>
      <c r="F10" s="63"/>
      <c r="G10" s="55"/>
      <c r="H10" s="54"/>
      <c r="I10" s="54"/>
      <c r="J10" s="63"/>
      <c r="K10" s="54"/>
      <c r="L10" s="54"/>
      <c r="M10" s="54"/>
      <c r="N10" s="54"/>
      <c r="O10" s="52">
        <f t="shared" si="0"/>
        <v>0</v>
      </c>
      <c r="P10" s="52"/>
      <c r="Q10" s="54"/>
      <c r="R10" s="54"/>
      <c r="S10" s="64">
        <f t="shared" si="1"/>
        <v>0</v>
      </c>
    </row>
    <row r="11" spans="1:19">
      <c r="A11" s="53">
        <v>46150</v>
      </c>
      <c r="B11" s="54"/>
      <c r="C11" s="54"/>
      <c r="D11" s="54"/>
      <c r="E11" s="54"/>
      <c r="F11" s="63"/>
      <c r="G11" s="55"/>
      <c r="H11" s="54"/>
      <c r="I11" s="54"/>
      <c r="J11" s="63"/>
      <c r="K11" s="54"/>
      <c r="L11" s="54">
        <v>4050</v>
      </c>
      <c r="M11" s="54">
        <v>10</v>
      </c>
      <c r="N11" s="54"/>
      <c r="O11" s="52">
        <f t="shared" si="0"/>
        <v>4060</v>
      </c>
      <c r="P11" s="52"/>
      <c r="Q11" s="54"/>
      <c r="R11" s="54"/>
      <c r="S11" s="64">
        <f t="shared" si="1"/>
        <v>0</v>
      </c>
    </row>
    <row r="12" spans="1:19">
      <c r="A12" s="53">
        <v>46151</v>
      </c>
      <c r="B12" s="54"/>
      <c r="C12" s="54"/>
      <c r="D12" s="54"/>
      <c r="E12" s="54"/>
      <c r="F12" s="63"/>
      <c r="G12" s="55"/>
      <c r="H12" s="54"/>
      <c r="I12" s="54"/>
      <c r="J12" s="63"/>
      <c r="K12" s="54">
        <v>1200</v>
      </c>
      <c r="L12" s="54">
        <v>3910</v>
      </c>
      <c r="M12" s="54">
        <v>1025</v>
      </c>
      <c r="N12" s="54"/>
      <c r="O12" s="52">
        <f t="shared" si="0"/>
        <v>6135</v>
      </c>
      <c r="P12" s="52"/>
      <c r="Q12" s="54"/>
      <c r="R12" s="54"/>
      <c r="S12" s="64">
        <f t="shared" si="1"/>
        <v>0</v>
      </c>
    </row>
    <row r="13" spans="1:19">
      <c r="A13" s="53">
        <v>46152</v>
      </c>
      <c r="B13" s="54"/>
      <c r="C13" s="54"/>
      <c r="D13" s="54"/>
      <c r="E13" s="54"/>
      <c r="F13" s="63"/>
      <c r="G13" s="54"/>
      <c r="H13" s="54"/>
      <c r="I13" s="54"/>
      <c r="J13" s="63"/>
      <c r="K13" s="54">
        <v>1000</v>
      </c>
      <c r="L13" s="54">
        <v>6270</v>
      </c>
      <c r="M13" s="54">
        <v>1290</v>
      </c>
      <c r="N13" s="54"/>
      <c r="O13" s="52">
        <f t="shared" si="0"/>
        <v>8560</v>
      </c>
      <c r="P13" s="52"/>
      <c r="Q13" s="54"/>
      <c r="R13" s="54"/>
      <c r="S13" s="64">
        <f t="shared" si="1"/>
        <v>0</v>
      </c>
    </row>
    <row r="14" spans="1:19">
      <c r="A14" s="53">
        <v>46153</v>
      </c>
      <c r="B14" s="54"/>
      <c r="C14" s="54"/>
      <c r="D14" s="54"/>
      <c r="E14" s="54"/>
      <c r="F14" s="63"/>
      <c r="G14" s="54"/>
      <c r="H14" s="54"/>
      <c r="I14" s="54"/>
      <c r="J14" s="63"/>
      <c r="K14" s="54">
        <v>0</v>
      </c>
      <c r="L14" s="54">
        <v>1590</v>
      </c>
      <c r="M14" s="54">
        <v>3670</v>
      </c>
      <c r="N14" s="54"/>
      <c r="O14" s="52">
        <f t="shared" si="0"/>
        <v>5260</v>
      </c>
      <c r="P14" s="52"/>
      <c r="Q14" s="54"/>
      <c r="R14" s="54"/>
      <c r="S14" s="64">
        <f t="shared" si="1"/>
        <v>0</v>
      </c>
    </row>
    <row r="15" spans="1:19">
      <c r="A15" s="53">
        <v>46154</v>
      </c>
      <c r="B15" s="54"/>
      <c r="C15" s="54"/>
      <c r="D15" s="54"/>
      <c r="E15" s="54"/>
      <c r="F15" s="63"/>
      <c r="G15" s="54"/>
      <c r="H15" s="54"/>
      <c r="I15" s="54"/>
      <c r="J15" s="63"/>
      <c r="K15" s="54"/>
      <c r="L15" s="54">
        <v>4490</v>
      </c>
      <c r="M15" s="54">
        <v>625</v>
      </c>
      <c r="N15" s="54"/>
      <c r="O15" s="52">
        <f t="shared" si="0"/>
        <v>5115</v>
      </c>
      <c r="P15" s="52"/>
      <c r="Q15" s="54"/>
      <c r="R15" s="54"/>
      <c r="S15" s="64">
        <f t="shared" si="1"/>
        <v>0</v>
      </c>
    </row>
    <row r="16" spans="1:19">
      <c r="A16" s="53">
        <v>46155</v>
      </c>
      <c r="B16" s="54" t="s">
        <v>88</v>
      </c>
      <c r="C16" s="54">
        <v>64323</v>
      </c>
      <c r="D16" s="54">
        <v>20000</v>
      </c>
      <c r="E16" s="54">
        <f>C16-D16</f>
        <v>44323</v>
      </c>
      <c r="F16" s="63"/>
      <c r="G16" s="54"/>
      <c r="H16" s="54"/>
      <c r="I16" s="54"/>
      <c r="J16" s="63"/>
      <c r="K16" s="54">
        <v>1000</v>
      </c>
      <c r="L16" s="54">
        <v>9140</v>
      </c>
      <c r="M16" s="54">
        <v>660</v>
      </c>
      <c r="N16" s="54"/>
      <c r="O16" s="52">
        <f t="shared" si="0"/>
        <v>10800</v>
      </c>
      <c r="P16" s="52"/>
      <c r="Q16" s="54"/>
      <c r="R16" s="54"/>
      <c r="S16" s="64">
        <f t="shared" si="1"/>
        <v>0</v>
      </c>
    </row>
    <row r="17" spans="1:19">
      <c r="A17" s="53">
        <v>46156</v>
      </c>
      <c r="B17" s="54"/>
      <c r="C17" s="54"/>
      <c r="D17" s="54"/>
      <c r="E17" s="54">
        <f t="shared" ref="E17:E33" si="2">C17-D17</f>
        <v>0</v>
      </c>
      <c r="F17" s="63"/>
      <c r="G17" s="54"/>
      <c r="H17" s="54"/>
      <c r="I17" s="54"/>
      <c r="J17" s="63"/>
      <c r="K17" s="54">
        <v>0</v>
      </c>
      <c r="L17" s="54">
        <v>6330</v>
      </c>
      <c r="M17" s="54">
        <v>1920</v>
      </c>
      <c r="N17" s="54"/>
      <c r="O17" s="52">
        <f t="shared" si="0"/>
        <v>8250</v>
      </c>
      <c r="P17" s="52"/>
      <c r="Q17" s="54"/>
      <c r="R17" s="54"/>
      <c r="S17" s="64">
        <f t="shared" si="1"/>
        <v>0</v>
      </c>
    </row>
    <row r="18" spans="1:19">
      <c r="A18" s="53">
        <v>46157</v>
      </c>
      <c r="B18" s="54"/>
      <c r="C18" s="54"/>
      <c r="D18" s="54"/>
      <c r="E18" s="54">
        <f t="shared" si="2"/>
        <v>0</v>
      </c>
      <c r="F18" s="63"/>
      <c r="G18" s="54"/>
      <c r="H18" s="54"/>
      <c r="I18" s="54"/>
      <c r="J18" s="63"/>
      <c r="K18" s="54">
        <v>0</v>
      </c>
      <c r="L18" s="54">
        <v>3110</v>
      </c>
      <c r="M18" s="54">
        <v>849</v>
      </c>
      <c r="N18" s="54"/>
      <c r="O18" s="52">
        <f t="shared" si="0"/>
        <v>3959</v>
      </c>
      <c r="P18" s="52" t="s">
        <v>106</v>
      </c>
      <c r="Q18" s="54">
        <v>110000</v>
      </c>
      <c r="R18" s="54"/>
      <c r="S18" s="64">
        <f t="shared" si="1"/>
        <v>110000</v>
      </c>
    </row>
    <row r="19" spans="1:19">
      <c r="A19" s="53">
        <v>46158</v>
      </c>
      <c r="B19" s="54"/>
      <c r="C19" s="54"/>
      <c r="D19" s="54"/>
      <c r="E19" s="54">
        <f t="shared" si="2"/>
        <v>0</v>
      </c>
      <c r="F19" s="63"/>
      <c r="G19" s="54"/>
      <c r="H19" s="54"/>
      <c r="I19" s="54"/>
      <c r="J19" s="63"/>
      <c r="K19" s="54">
        <v>0</v>
      </c>
      <c r="L19" s="54">
        <v>3110</v>
      </c>
      <c r="M19" s="54">
        <v>849</v>
      </c>
      <c r="N19" s="54"/>
      <c r="O19" s="52">
        <f t="shared" si="0"/>
        <v>3959</v>
      </c>
      <c r="P19" s="52"/>
      <c r="Q19" s="54"/>
      <c r="R19" s="54"/>
      <c r="S19" s="64">
        <f t="shared" si="1"/>
        <v>0</v>
      </c>
    </row>
    <row r="20" spans="1:19">
      <c r="A20" s="53">
        <v>46159</v>
      </c>
      <c r="B20" s="54" t="s">
        <v>93</v>
      </c>
      <c r="C20" s="54"/>
      <c r="D20" s="54">
        <v>1200</v>
      </c>
      <c r="E20" s="54">
        <f t="shared" si="2"/>
        <v>-1200</v>
      </c>
      <c r="F20" s="63"/>
      <c r="G20" s="54">
        <v>32554</v>
      </c>
      <c r="H20" s="54">
        <v>1000</v>
      </c>
      <c r="I20" s="54">
        <f>G20-H20</f>
        <v>31554</v>
      </c>
      <c r="J20" s="63"/>
      <c r="K20" s="54">
        <v>1000</v>
      </c>
      <c r="L20" s="54">
        <v>4590</v>
      </c>
      <c r="M20" s="54">
        <v>110</v>
      </c>
      <c r="N20" s="54"/>
      <c r="O20" s="52">
        <f t="shared" si="0"/>
        <v>5700</v>
      </c>
      <c r="P20" s="52"/>
      <c r="Q20" s="54"/>
      <c r="R20" s="54"/>
      <c r="S20" s="64">
        <f t="shared" si="1"/>
        <v>0</v>
      </c>
    </row>
    <row r="21" spans="1:19">
      <c r="A21" s="53">
        <v>46160</v>
      </c>
      <c r="B21" s="54"/>
      <c r="C21" s="54"/>
      <c r="D21" s="54"/>
      <c r="E21" s="54">
        <f t="shared" si="2"/>
        <v>0</v>
      </c>
      <c r="F21" s="63"/>
      <c r="G21" s="54"/>
      <c r="H21" s="54"/>
      <c r="I21" s="54">
        <f t="shared" ref="I21:I33" si="3">G21-H21</f>
        <v>0</v>
      </c>
      <c r="J21" s="63"/>
      <c r="K21" s="54">
        <v>0</v>
      </c>
      <c r="L21" s="54">
        <v>490</v>
      </c>
      <c r="M21" s="54">
        <v>1030</v>
      </c>
      <c r="N21" s="54"/>
      <c r="O21" s="52">
        <f t="shared" si="0"/>
        <v>1520</v>
      </c>
      <c r="P21" s="52"/>
      <c r="Q21" s="54"/>
      <c r="R21" s="54"/>
      <c r="S21" s="64">
        <f t="shared" si="1"/>
        <v>0</v>
      </c>
    </row>
    <row r="22" spans="1:19">
      <c r="A22" s="53">
        <v>46161</v>
      </c>
      <c r="B22" s="54"/>
      <c r="C22" s="54"/>
      <c r="D22" s="54"/>
      <c r="E22" s="54">
        <f t="shared" si="2"/>
        <v>0</v>
      </c>
      <c r="F22" s="63"/>
      <c r="G22" s="54"/>
      <c r="H22" s="54">
        <v>900</v>
      </c>
      <c r="I22" s="54">
        <f t="shared" si="3"/>
        <v>-900</v>
      </c>
      <c r="J22" s="63"/>
      <c r="K22" s="54">
        <v>0</v>
      </c>
      <c r="L22" s="54">
        <v>6060</v>
      </c>
      <c r="M22" s="54">
        <v>150</v>
      </c>
      <c r="N22" s="54"/>
      <c r="O22" s="52">
        <f t="shared" si="0"/>
        <v>6210</v>
      </c>
      <c r="P22" s="52"/>
      <c r="Q22" s="54"/>
      <c r="R22" s="54"/>
      <c r="S22" s="64">
        <f t="shared" si="1"/>
        <v>0</v>
      </c>
    </row>
    <row r="23" spans="1:19">
      <c r="A23" s="53">
        <v>46162</v>
      </c>
      <c r="B23" s="54" t="s">
        <v>98</v>
      </c>
      <c r="C23" s="54">
        <v>970</v>
      </c>
      <c r="D23" s="54"/>
      <c r="E23" s="54">
        <f t="shared" si="2"/>
        <v>970</v>
      </c>
      <c r="F23" s="63"/>
      <c r="G23" s="54"/>
      <c r="H23" s="54">
        <v>1000</v>
      </c>
      <c r="I23" s="54">
        <f t="shared" si="3"/>
        <v>-1000</v>
      </c>
      <c r="J23" s="63"/>
      <c r="K23" s="54"/>
      <c r="L23" s="54">
        <v>4320</v>
      </c>
      <c r="M23" s="54">
        <v>1890</v>
      </c>
      <c r="N23" s="54"/>
      <c r="O23" s="52">
        <f t="shared" si="0"/>
        <v>6210</v>
      </c>
      <c r="P23" s="52"/>
      <c r="Q23" s="54"/>
      <c r="R23" s="54"/>
      <c r="S23" s="64">
        <f t="shared" si="1"/>
        <v>0</v>
      </c>
    </row>
    <row r="24" spans="1:19">
      <c r="A24" s="53">
        <v>46163</v>
      </c>
      <c r="B24" s="54"/>
      <c r="C24" s="54"/>
      <c r="D24" s="54"/>
      <c r="E24" s="54">
        <f t="shared" si="2"/>
        <v>0</v>
      </c>
      <c r="F24" s="63"/>
      <c r="G24" s="54"/>
      <c r="H24" s="54"/>
      <c r="I24" s="54">
        <f t="shared" si="3"/>
        <v>0</v>
      </c>
      <c r="J24" s="63"/>
      <c r="K24" s="54"/>
      <c r="L24" s="54">
        <v>4405</v>
      </c>
      <c r="M24" s="54"/>
      <c r="N24" s="54"/>
      <c r="O24" s="52">
        <f t="shared" si="0"/>
        <v>4405</v>
      </c>
      <c r="P24" s="52"/>
      <c r="Q24" s="54"/>
      <c r="R24" s="54"/>
      <c r="S24" s="64">
        <f t="shared" si="1"/>
        <v>0</v>
      </c>
    </row>
    <row r="25" spans="1:19">
      <c r="A25" s="53">
        <v>46164</v>
      </c>
      <c r="B25" s="54" t="s">
        <v>105</v>
      </c>
      <c r="C25" s="54">
        <v>200</v>
      </c>
      <c r="D25" s="54">
        <v>200</v>
      </c>
      <c r="E25" s="54">
        <f t="shared" si="2"/>
        <v>0</v>
      </c>
      <c r="F25" s="63"/>
      <c r="G25" s="54"/>
      <c r="H25" s="54">
        <v>150</v>
      </c>
      <c r="I25" s="54">
        <f t="shared" si="3"/>
        <v>-150</v>
      </c>
      <c r="J25" s="63"/>
      <c r="K25" s="54"/>
      <c r="L25" s="54">
        <v>6089</v>
      </c>
      <c r="M25" s="54"/>
      <c r="N25" s="54"/>
      <c r="O25" s="52">
        <f t="shared" si="0"/>
        <v>6089</v>
      </c>
      <c r="P25" s="52" t="s">
        <v>107</v>
      </c>
      <c r="Q25" s="54">
        <v>500</v>
      </c>
      <c r="R25" s="54"/>
      <c r="S25" s="64">
        <f t="shared" si="1"/>
        <v>500</v>
      </c>
    </row>
    <row r="26" spans="1:19">
      <c r="A26" s="53">
        <v>46165</v>
      </c>
      <c r="B26" s="54"/>
      <c r="C26" s="54"/>
      <c r="D26" s="54"/>
      <c r="E26" s="54">
        <f t="shared" si="2"/>
        <v>0</v>
      </c>
      <c r="F26" s="63"/>
      <c r="G26" s="54"/>
      <c r="H26" s="54">
        <v>1000</v>
      </c>
      <c r="I26" s="54">
        <f t="shared" si="3"/>
        <v>-1000</v>
      </c>
      <c r="J26" s="63"/>
      <c r="K26" s="54">
        <v>1000</v>
      </c>
      <c r="L26" s="54">
        <v>4395</v>
      </c>
      <c r="M26" s="54"/>
      <c r="N26" s="54"/>
      <c r="O26" s="52">
        <f t="shared" si="0"/>
        <v>5395</v>
      </c>
      <c r="P26" s="52"/>
      <c r="Q26" s="54"/>
      <c r="R26" s="54"/>
      <c r="S26" s="64">
        <f t="shared" si="1"/>
        <v>0</v>
      </c>
    </row>
    <row r="27" spans="1:19">
      <c r="A27" s="53">
        <v>46166</v>
      </c>
      <c r="B27" s="54"/>
      <c r="C27" s="54"/>
      <c r="D27" s="54"/>
      <c r="E27" s="54">
        <f t="shared" si="2"/>
        <v>0</v>
      </c>
      <c r="F27" s="63"/>
      <c r="G27" s="54">
        <v>995</v>
      </c>
      <c r="H27" s="54"/>
      <c r="I27" s="54">
        <f t="shared" si="3"/>
        <v>995</v>
      </c>
      <c r="J27" s="63"/>
      <c r="K27" s="54"/>
      <c r="L27" s="54"/>
      <c r="M27" s="54"/>
      <c r="N27" s="54"/>
      <c r="O27" s="52">
        <f t="shared" si="0"/>
        <v>0</v>
      </c>
      <c r="P27" s="52"/>
      <c r="Q27" s="54"/>
      <c r="R27" s="54"/>
      <c r="S27" s="64">
        <f t="shared" si="1"/>
        <v>0</v>
      </c>
    </row>
    <row r="28" spans="1:19">
      <c r="A28" s="53">
        <v>46167</v>
      </c>
      <c r="B28" s="54"/>
      <c r="C28" s="54"/>
      <c r="D28" s="54"/>
      <c r="E28" s="54">
        <f t="shared" si="2"/>
        <v>0</v>
      </c>
      <c r="F28" s="63"/>
      <c r="G28" s="54"/>
      <c r="H28" s="54"/>
      <c r="I28" s="54">
        <f t="shared" si="3"/>
        <v>0</v>
      </c>
      <c r="J28" s="63"/>
      <c r="K28" s="54"/>
      <c r="L28" s="54"/>
      <c r="M28" s="54"/>
      <c r="N28" s="54"/>
      <c r="O28" s="52">
        <f t="shared" si="0"/>
        <v>0</v>
      </c>
      <c r="P28" s="52"/>
      <c r="Q28" s="54"/>
      <c r="R28" s="54"/>
      <c r="S28" s="64">
        <f t="shared" si="1"/>
        <v>0</v>
      </c>
    </row>
    <row r="29" spans="1:19">
      <c r="A29" s="53">
        <v>46168</v>
      </c>
      <c r="B29" s="54"/>
      <c r="C29" s="54"/>
      <c r="D29" s="54"/>
      <c r="E29" s="54">
        <f t="shared" si="2"/>
        <v>0</v>
      </c>
      <c r="F29" s="63"/>
      <c r="G29" s="54"/>
      <c r="H29" s="54"/>
      <c r="I29" s="54">
        <f t="shared" si="3"/>
        <v>0</v>
      </c>
      <c r="J29" s="63"/>
      <c r="K29" s="54"/>
      <c r="L29" s="54"/>
      <c r="M29" s="54"/>
      <c r="N29" s="54"/>
      <c r="O29" s="52">
        <f t="shared" si="0"/>
        <v>0</v>
      </c>
      <c r="P29" s="52"/>
      <c r="Q29" s="54"/>
      <c r="R29" s="54"/>
      <c r="S29" s="64">
        <f t="shared" si="1"/>
        <v>0</v>
      </c>
    </row>
    <row r="30" spans="1:19">
      <c r="A30" s="53">
        <v>46169</v>
      </c>
      <c r="B30" s="54"/>
      <c r="C30" s="54"/>
      <c r="D30" s="54"/>
      <c r="E30" s="54">
        <f t="shared" si="2"/>
        <v>0</v>
      </c>
      <c r="F30" s="63"/>
      <c r="G30" s="54"/>
      <c r="H30" s="54"/>
      <c r="I30" s="54">
        <f t="shared" si="3"/>
        <v>0</v>
      </c>
      <c r="J30" s="63"/>
      <c r="K30" s="54"/>
      <c r="L30" s="54"/>
      <c r="M30" s="54"/>
      <c r="N30" s="54"/>
      <c r="O30" s="52">
        <f t="shared" si="0"/>
        <v>0</v>
      </c>
      <c r="P30" s="52"/>
      <c r="Q30" s="54"/>
      <c r="R30" s="54"/>
      <c r="S30" s="64">
        <f t="shared" si="1"/>
        <v>0</v>
      </c>
    </row>
    <row r="31" spans="1:19">
      <c r="A31" s="53">
        <v>46170</v>
      </c>
      <c r="B31" s="54"/>
      <c r="C31" s="54"/>
      <c r="D31" s="54"/>
      <c r="E31" s="54">
        <f t="shared" si="2"/>
        <v>0</v>
      </c>
      <c r="F31" s="63"/>
      <c r="G31" s="54"/>
      <c r="H31" s="54"/>
      <c r="I31" s="54">
        <f t="shared" si="3"/>
        <v>0</v>
      </c>
      <c r="J31" s="63"/>
      <c r="K31" s="54"/>
      <c r="L31" s="54"/>
      <c r="M31" s="54"/>
      <c r="N31" s="54"/>
      <c r="O31" s="52">
        <f t="shared" si="0"/>
        <v>0</v>
      </c>
      <c r="P31" s="52"/>
      <c r="Q31" s="54"/>
      <c r="R31" s="54"/>
      <c r="S31" s="64">
        <f t="shared" si="1"/>
        <v>0</v>
      </c>
    </row>
    <row r="32" spans="1:19">
      <c r="A32" s="53">
        <v>46171</v>
      </c>
      <c r="B32" s="54"/>
      <c r="C32" s="54"/>
      <c r="D32" s="54"/>
      <c r="E32" s="54">
        <f t="shared" si="2"/>
        <v>0</v>
      </c>
      <c r="F32" s="63"/>
      <c r="G32" s="54"/>
      <c r="H32" s="54"/>
      <c r="I32" s="54">
        <f t="shared" si="3"/>
        <v>0</v>
      </c>
      <c r="J32" s="63"/>
      <c r="K32" s="54"/>
      <c r="L32" s="54"/>
      <c r="M32" s="54"/>
      <c r="N32" s="54"/>
      <c r="O32" s="52">
        <f t="shared" si="0"/>
        <v>0</v>
      </c>
      <c r="P32" s="52"/>
      <c r="Q32" s="54"/>
      <c r="R32" s="54"/>
      <c r="S32" s="64">
        <f t="shared" si="1"/>
        <v>0</v>
      </c>
    </row>
    <row r="33" spans="1:19">
      <c r="A33" s="53">
        <v>46172</v>
      </c>
      <c r="B33" s="54"/>
      <c r="C33" s="54"/>
      <c r="D33" s="54"/>
      <c r="E33" s="54">
        <f t="shared" si="2"/>
        <v>0</v>
      </c>
      <c r="F33" s="63"/>
      <c r="G33" s="54"/>
      <c r="H33" s="54"/>
      <c r="I33" s="54">
        <f t="shared" si="3"/>
        <v>0</v>
      </c>
      <c r="J33" s="63"/>
      <c r="K33" s="54"/>
      <c r="L33" s="54"/>
      <c r="M33" s="54"/>
      <c r="N33" s="54"/>
      <c r="O33" s="52">
        <f t="shared" si="0"/>
        <v>0</v>
      </c>
      <c r="P33" s="52"/>
      <c r="Q33" s="54"/>
      <c r="R33" s="54"/>
      <c r="S33" s="64">
        <f t="shared" si="1"/>
        <v>0</v>
      </c>
    </row>
    <row r="34" spans="1:19" ht="15.75" thickBot="1">
      <c r="A34" s="53">
        <v>46173</v>
      </c>
      <c r="B34" s="52"/>
      <c r="C34" s="52">
        <f>SUM(C16:C33)</f>
        <v>65493</v>
      </c>
      <c r="D34" s="52">
        <f>SUM(D16:D33)</f>
        <v>21400</v>
      </c>
      <c r="E34" s="52">
        <f>SUM(E16:E33)</f>
        <v>44093</v>
      </c>
      <c r="F34" s="66"/>
      <c r="G34" s="65">
        <f>SUM(G20:G33)</f>
        <v>33549</v>
      </c>
      <c r="H34" s="65">
        <f>SUM(H20:H33)</f>
        <v>4050</v>
      </c>
      <c r="I34" s="52">
        <f>SUM(I20:I33)</f>
        <v>29499</v>
      </c>
      <c r="J34" s="66"/>
      <c r="K34" s="65">
        <f>SUM(K11:K33)</f>
        <v>5200</v>
      </c>
      <c r="L34" s="65">
        <f>SUM(L11:L33)</f>
        <v>72349</v>
      </c>
      <c r="M34" s="65">
        <f>SUM(M11:M33)</f>
        <v>14078</v>
      </c>
      <c r="N34" s="65"/>
      <c r="O34" s="65">
        <f t="shared" si="0"/>
        <v>91627</v>
      </c>
      <c r="P34" s="65"/>
      <c r="Q34" s="65">
        <f>SUM(Q3:Q33)</f>
        <v>110500</v>
      </c>
      <c r="R34" s="65">
        <f>SUM(R3:R33)</f>
        <v>0</v>
      </c>
      <c r="S34" s="67">
        <f>SUM(S3:S33)</f>
        <v>110500</v>
      </c>
    </row>
    <row r="35" spans="1:19">
      <c r="D35" s="50"/>
      <c r="E35"/>
      <c r="F35"/>
      <c r="K35" s="58"/>
    </row>
  </sheetData>
  <mergeCells count="4">
    <mergeCell ref="G1:I1"/>
    <mergeCell ref="K1:O1"/>
    <mergeCell ref="Q1:S1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2026-05-17T05:16:58Z</dcterms:created>
  <dcterms:modified xsi:type="dcterms:W3CDTF">2026-05-24T16:12:10Z</dcterms:modified>
</cp:coreProperties>
</file>